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b\Downloads\"/>
    </mc:Choice>
  </mc:AlternateContent>
  <xr:revisionPtr revIDLastSave="0" documentId="13_ncr:1_{48A5D679-618B-4878-993B-4363B3C735EF}" xr6:coauthVersionLast="47" xr6:coauthVersionMax="47" xr10:uidLastSave="{00000000-0000-0000-0000-000000000000}"/>
  <bookViews>
    <workbookView xWindow="-110" yWindow="-110" windowWidth="19420" windowHeight="10300" firstSheet="2" activeTab="7" xr2:uid="{04865D84-2559-4955-8ADB-C10E1C48F102}"/>
  </bookViews>
  <sheets>
    <sheet name="Bangalore DP" sheetId="9" r:id="rId1"/>
    <sheet name="Hyderabad DP" sheetId="6" r:id="rId2"/>
    <sheet name="Chennai DP" sheetId="12" r:id="rId3"/>
    <sheet name="Delhi DP" sheetId="11" r:id="rId4"/>
    <sheet name="Mumbai DP" sheetId="13" r:id="rId5"/>
    <sheet name="Sheet8" sheetId="8" state="hidden" r:id="rId6"/>
    <sheet name="Overall DP" sheetId="2" r:id="rId7"/>
    <sheet name="Factors used for Forecast" sheetId="1" r:id="rId8"/>
  </sheets>
  <definedNames>
    <definedName name="_xlnm._FilterDatabase" localSheetId="2" hidden="1">'Chennai DP'!$AC$3:$AD$34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5" i="12" l="1"/>
  <c r="L75" i="12"/>
  <c r="K75" i="12"/>
  <c r="J75" i="12"/>
  <c r="I75" i="12"/>
  <c r="M74" i="12"/>
  <c r="L74" i="12"/>
  <c r="K74" i="12"/>
  <c r="J74" i="12"/>
  <c r="I74" i="12"/>
  <c r="M73" i="12"/>
  <c r="L73" i="12"/>
  <c r="K73" i="12"/>
  <c r="J73" i="12"/>
  <c r="I73" i="12"/>
  <c r="M72" i="12"/>
  <c r="L72" i="12"/>
  <c r="K72" i="12"/>
  <c r="J72" i="12"/>
  <c r="I72" i="12"/>
  <c r="M71" i="12"/>
  <c r="L71" i="12"/>
  <c r="K71" i="12"/>
  <c r="J71" i="12"/>
  <c r="I71" i="12"/>
  <c r="M70" i="12"/>
  <c r="L70" i="12"/>
  <c r="K70" i="12"/>
  <c r="J70" i="12"/>
  <c r="I70" i="12"/>
  <c r="M69" i="12"/>
  <c r="L69" i="12"/>
  <c r="K69" i="12"/>
  <c r="J69" i="12"/>
  <c r="I69" i="12"/>
  <c r="M67" i="12"/>
  <c r="L67" i="12"/>
  <c r="K67" i="12"/>
  <c r="J67" i="12"/>
  <c r="I67" i="12"/>
  <c r="M65" i="12"/>
  <c r="L65" i="12"/>
  <c r="K65" i="12"/>
  <c r="J65" i="12"/>
  <c r="I65" i="12"/>
  <c r="M63" i="12"/>
  <c r="L63" i="12"/>
  <c r="K63" i="12"/>
  <c r="J63" i="12"/>
  <c r="I63" i="12"/>
  <c r="M62" i="12"/>
  <c r="L62" i="12"/>
  <c r="K62" i="12"/>
  <c r="J62" i="12"/>
  <c r="I62" i="12"/>
  <c r="M61" i="12"/>
  <c r="L61" i="12"/>
  <c r="K61" i="12"/>
  <c r="J61" i="12"/>
  <c r="I61" i="12"/>
  <c r="M59" i="12"/>
  <c r="L59" i="12"/>
  <c r="K59" i="12"/>
  <c r="J59" i="12"/>
  <c r="I59" i="12"/>
  <c r="M58" i="12"/>
  <c r="L58" i="12"/>
  <c r="K58" i="12"/>
  <c r="J58" i="12"/>
  <c r="I58" i="12"/>
  <c r="M56" i="12"/>
  <c r="L56" i="12"/>
  <c r="K56" i="12"/>
  <c r="J56" i="12"/>
  <c r="I56" i="12"/>
  <c r="M55" i="12"/>
  <c r="L55" i="12"/>
  <c r="K55" i="12"/>
  <c r="J55" i="12"/>
  <c r="I55" i="12"/>
  <c r="M54" i="12"/>
  <c r="L54" i="12"/>
  <c r="K54" i="12"/>
  <c r="J54" i="12"/>
  <c r="I54" i="12"/>
  <c r="M53" i="12"/>
  <c r="L53" i="12"/>
  <c r="K53" i="12"/>
  <c r="J53" i="12"/>
  <c r="I53" i="12"/>
  <c r="M52" i="12"/>
  <c r="L52" i="12"/>
  <c r="K52" i="12"/>
  <c r="J52" i="12"/>
  <c r="I52" i="12"/>
  <c r="M50" i="12"/>
  <c r="L50" i="12"/>
  <c r="K50" i="12"/>
  <c r="J50" i="12"/>
  <c r="I50" i="12"/>
  <c r="M49" i="12"/>
  <c r="L49" i="12"/>
  <c r="K49" i="12"/>
  <c r="J49" i="12"/>
  <c r="I49" i="12"/>
  <c r="M48" i="12"/>
  <c r="L48" i="12"/>
  <c r="K48" i="12"/>
  <c r="J48" i="12"/>
  <c r="I48" i="12"/>
  <c r="M47" i="12"/>
  <c r="L47" i="12"/>
  <c r="K47" i="12"/>
  <c r="J47" i="12"/>
  <c r="I47" i="12"/>
  <c r="M46" i="12"/>
  <c r="L46" i="12"/>
  <c r="K46" i="12"/>
  <c r="J46" i="12"/>
  <c r="I46" i="12"/>
  <c r="M45" i="12"/>
  <c r="L45" i="12"/>
  <c r="K45" i="12"/>
  <c r="J45" i="12"/>
  <c r="I45" i="12"/>
  <c r="M43" i="12"/>
  <c r="L43" i="12"/>
  <c r="K43" i="12"/>
  <c r="J43" i="12"/>
  <c r="I43" i="12"/>
  <c r="M42" i="12"/>
  <c r="L42" i="12"/>
  <c r="K42" i="12"/>
  <c r="J42" i="12"/>
  <c r="I42" i="12"/>
  <c r="M41" i="12"/>
  <c r="L41" i="12"/>
  <c r="K41" i="12"/>
  <c r="J41" i="12"/>
  <c r="I41" i="12"/>
  <c r="M40" i="12"/>
  <c r="L40" i="12"/>
  <c r="K40" i="12"/>
  <c r="J40" i="12"/>
  <c r="I40" i="12"/>
  <c r="M39" i="12"/>
  <c r="L39" i="12"/>
  <c r="K39" i="12"/>
  <c r="J39" i="12"/>
  <c r="I39" i="12"/>
  <c r="M38" i="12"/>
  <c r="L38" i="12"/>
  <c r="K38" i="12"/>
  <c r="J38" i="12"/>
  <c r="I38" i="12"/>
  <c r="M37" i="12"/>
  <c r="L37" i="12"/>
  <c r="K37" i="12"/>
  <c r="J37" i="12"/>
  <c r="I37" i="12"/>
  <c r="M36" i="12"/>
  <c r="L36" i="12"/>
  <c r="K36" i="12"/>
  <c r="J36" i="12"/>
  <c r="I36" i="12"/>
  <c r="M35" i="12"/>
  <c r="L35" i="12"/>
  <c r="K35" i="12"/>
  <c r="J35" i="12"/>
  <c r="I35" i="12"/>
  <c r="M34" i="12"/>
  <c r="L34" i="12"/>
  <c r="K34" i="12"/>
  <c r="J34" i="12"/>
  <c r="I34" i="12"/>
  <c r="M33" i="12"/>
  <c r="L33" i="12"/>
  <c r="K33" i="12"/>
  <c r="J33" i="12"/>
  <c r="I33" i="12"/>
  <c r="M31" i="12"/>
  <c r="L31" i="12"/>
  <c r="K31" i="12"/>
  <c r="J31" i="12"/>
  <c r="I31" i="12"/>
  <c r="M30" i="12"/>
  <c r="L30" i="12"/>
  <c r="K30" i="12"/>
  <c r="J30" i="12"/>
  <c r="I30" i="12"/>
  <c r="M29" i="12"/>
  <c r="L29" i="12"/>
  <c r="K29" i="12"/>
  <c r="J29" i="12"/>
  <c r="I29" i="12"/>
  <c r="M28" i="12"/>
  <c r="L28" i="12"/>
  <c r="K28" i="12"/>
  <c r="J28" i="12"/>
  <c r="I28" i="12"/>
  <c r="M27" i="12"/>
  <c r="L27" i="12"/>
  <c r="K27" i="12"/>
  <c r="J27" i="12"/>
  <c r="I27" i="12"/>
  <c r="M26" i="12"/>
  <c r="L26" i="12"/>
  <c r="K26" i="12"/>
  <c r="J26" i="12"/>
  <c r="I26" i="12"/>
  <c r="M25" i="12"/>
  <c r="L25" i="12"/>
  <c r="K25" i="12"/>
  <c r="J25" i="12"/>
  <c r="I25" i="12"/>
  <c r="M24" i="12"/>
  <c r="L24" i="12"/>
  <c r="K24" i="12"/>
  <c r="J24" i="12"/>
  <c r="I24" i="12"/>
  <c r="M23" i="12"/>
  <c r="L23" i="12"/>
  <c r="K23" i="12"/>
  <c r="J23" i="12"/>
  <c r="I23" i="12"/>
  <c r="M22" i="12"/>
  <c r="L22" i="12"/>
  <c r="K22" i="12"/>
  <c r="J22" i="12"/>
  <c r="I22" i="12"/>
  <c r="M21" i="12"/>
  <c r="L21" i="12"/>
  <c r="K21" i="12"/>
  <c r="J21" i="12"/>
  <c r="I21" i="12"/>
  <c r="M19" i="12"/>
  <c r="L19" i="12"/>
  <c r="K19" i="12"/>
  <c r="J19" i="12"/>
  <c r="I19" i="12"/>
  <c r="M18" i="12"/>
  <c r="L18" i="12"/>
  <c r="K18" i="12"/>
  <c r="J18" i="12"/>
  <c r="I18" i="12"/>
  <c r="M17" i="12"/>
  <c r="L17" i="12"/>
  <c r="K17" i="12"/>
  <c r="J17" i="12"/>
  <c r="I17" i="12"/>
  <c r="M16" i="12"/>
  <c r="L16" i="12"/>
  <c r="K16" i="12"/>
  <c r="J16" i="12"/>
  <c r="I16" i="12"/>
  <c r="M15" i="12"/>
  <c r="L15" i="12"/>
  <c r="K15" i="12"/>
  <c r="J15" i="12"/>
  <c r="I15" i="12"/>
  <c r="M14" i="12"/>
  <c r="L14" i="12"/>
  <c r="K14" i="12"/>
  <c r="J14" i="12"/>
  <c r="I14" i="12"/>
  <c r="M13" i="12"/>
  <c r="L13" i="12"/>
  <c r="K13" i="12"/>
  <c r="J13" i="12"/>
  <c r="I13" i="12"/>
  <c r="M12" i="12"/>
  <c r="L12" i="12"/>
  <c r="K12" i="12"/>
  <c r="J12" i="12"/>
  <c r="I12" i="12"/>
  <c r="M11" i="12"/>
  <c r="L11" i="12"/>
  <c r="K11" i="12"/>
  <c r="J11" i="12"/>
  <c r="I11" i="12"/>
  <c r="M10" i="12"/>
  <c r="L10" i="12"/>
  <c r="K10" i="12"/>
  <c r="J10" i="12"/>
  <c r="I10" i="12"/>
  <c r="M9" i="12"/>
  <c r="L9" i="12"/>
  <c r="K9" i="12"/>
  <c r="J9" i="12"/>
  <c r="I9" i="12"/>
  <c r="M8" i="12"/>
  <c r="L8" i="12"/>
  <c r="K8" i="12"/>
  <c r="J8" i="12"/>
  <c r="I8" i="12"/>
  <c r="M7" i="12"/>
  <c r="L7" i="12"/>
  <c r="K7" i="12"/>
  <c r="J7" i="12"/>
  <c r="I7" i="12"/>
  <c r="M6" i="12"/>
  <c r="L6" i="12"/>
  <c r="K6" i="12"/>
  <c r="J6" i="12"/>
  <c r="I6" i="12"/>
  <c r="M5" i="12"/>
  <c r="L5" i="12"/>
  <c r="K5" i="12"/>
  <c r="J5" i="12"/>
  <c r="I5" i="12"/>
  <c r="M75" i="9"/>
  <c r="L75" i="9"/>
  <c r="K75" i="9"/>
  <c r="J75" i="9"/>
  <c r="I75" i="9"/>
  <c r="M74" i="9"/>
  <c r="L74" i="9"/>
  <c r="K74" i="9"/>
  <c r="J74" i="9"/>
  <c r="I74" i="9"/>
  <c r="M73" i="9"/>
  <c r="L73" i="9"/>
  <c r="K73" i="9"/>
  <c r="J73" i="9"/>
  <c r="I73" i="9"/>
  <c r="M72" i="9"/>
  <c r="L72" i="9"/>
  <c r="K72" i="9"/>
  <c r="J72" i="9"/>
  <c r="I72" i="9"/>
  <c r="M71" i="9"/>
  <c r="L71" i="9"/>
  <c r="K71" i="9"/>
  <c r="J71" i="9"/>
  <c r="I71" i="9"/>
  <c r="M70" i="9"/>
  <c r="L70" i="9"/>
  <c r="K70" i="9"/>
  <c r="J70" i="9"/>
  <c r="I70" i="9"/>
  <c r="M69" i="9"/>
  <c r="L69" i="9"/>
  <c r="K69" i="9"/>
  <c r="J69" i="9"/>
  <c r="I69" i="9"/>
  <c r="M67" i="9"/>
  <c r="L67" i="9"/>
  <c r="K67" i="9"/>
  <c r="J67" i="9"/>
  <c r="I67" i="9"/>
  <c r="M65" i="9"/>
  <c r="L65" i="9"/>
  <c r="K65" i="9"/>
  <c r="J65" i="9"/>
  <c r="I65" i="9"/>
  <c r="M63" i="9"/>
  <c r="L63" i="9"/>
  <c r="K63" i="9"/>
  <c r="J63" i="9"/>
  <c r="I63" i="9"/>
  <c r="M62" i="9"/>
  <c r="L62" i="9"/>
  <c r="K62" i="9"/>
  <c r="J62" i="9"/>
  <c r="I62" i="9"/>
  <c r="M61" i="9"/>
  <c r="L61" i="9"/>
  <c r="K61" i="9"/>
  <c r="J61" i="9"/>
  <c r="I61" i="9"/>
  <c r="M59" i="9"/>
  <c r="L59" i="9"/>
  <c r="K59" i="9"/>
  <c r="J59" i="9"/>
  <c r="I59" i="9"/>
  <c r="M58" i="9"/>
  <c r="L58" i="9"/>
  <c r="K58" i="9"/>
  <c r="J58" i="9"/>
  <c r="I58" i="9"/>
  <c r="M56" i="9"/>
  <c r="L56" i="9"/>
  <c r="K56" i="9"/>
  <c r="J56" i="9"/>
  <c r="I56" i="9"/>
  <c r="M55" i="9"/>
  <c r="L55" i="9"/>
  <c r="K55" i="9"/>
  <c r="J55" i="9"/>
  <c r="I55" i="9"/>
  <c r="M54" i="9"/>
  <c r="L54" i="9"/>
  <c r="K54" i="9"/>
  <c r="J54" i="9"/>
  <c r="I54" i="9"/>
  <c r="M53" i="9"/>
  <c r="L53" i="9"/>
  <c r="K53" i="9"/>
  <c r="J53" i="9"/>
  <c r="I53" i="9"/>
  <c r="M52" i="9"/>
  <c r="L52" i="9"/>
  <c r="K52" i="9"/>
  <c r="J52" i="9"/>
  <c r="I52" i="9"/>
  <c r="M50" i="9"/>
  <c r="L50" i="9"/>
  <c r="K50" i="9"/>
  <c r="J50" i="9"/>
  <c r="I50" i="9"/>
  <c r="M49" i="9"/>
  <c r="L49" i="9"/>
  <c r="K49" i="9"/>
  <c r="J49" i="9"/>
  <c r="I49" i="9"/>
  <c r="M48" i="9"/>
  <c r="L48" i="9"/>
  <c r="K48" i="9"/>
  <c r="J48" i="9"/>
  <c r="I48" i="9"/>
  <c r="M47" i="9"/>
  <c r="L47" i="9"/>
  <c r="K47" i="9"/>
  <c r="J47" i="9"/>
  <c r="I47" i="9"/>
  <c r="M46" i="9"/>
  <c r="L46" i="9"/>
  <c r="K46" i="9"/>
  <c r="J46" i="9"/>
  <c r="I46" i="9"/>
  <c r="M45" i="9"/>
  <c r="L45" i="9"/>
  <c r="K45" i="9"/>
  <c r="J45" i="9"/>
  <c r="I45" i="9"/>
  <c r="M43" i="9"/>
  <c r="L43" i="9"/>
  <c r="K43" i="9"/>
  <c r="J43" i="9"/>
  <c r="I43" i="9"/>
  <c r="M42" i="9"/>
  <c r="L42" i="9"/>
  <c r="K42" i="9"/>
  <c r="J42" i="9"/>
  <c r="I42" i="9"/>
  <c r="M41" i="9"/>
  <c r="L41" i="9"/>
  <c r="K41" i="9"/>
  <c r="J41" i="9"/>
  <c r="I41" i="9"/>
  <c r="M40" i="9"/>
  <c r="L40" i="9"/>
  <c r="K40" i="9"/>
  <c r="J40" i="9"/>
  <c r="I40" i="9"/>
  <c r="M39" i="9"/>
  <c r="L39" i="9"/>
  <c r="K39" i="9"/>
  <c r="J39" i="9"/>
  <c r="I39" i="9"/>
  <c r="M38" i="9"/>
  <c r="L38" i="9"/>
  <c r="K38" i="9"/>
  <c r="J38" i="9"/>
  <c r="I38" i="9"/>
  <c r="M37" i="9"/>
  <c r="L37" i="9"/>
  <c r="K37" i="9"/>
  <c r="J37" i="9"/>
  <c r="I37" i="9"/>
  <c r="M36" i="9"/>
  <c r="L36" i="9"/>
  <c r="K36" i="9"/>
  <c r="J36" i="9"/>
  <c r="I36" i="9"/>
  <c r="M35" i="9"/>
  <c r="L35" i="9"/>
  <c r="K35" i="9"/>
  <c r="J35" i="9"/>
  <c r="I35" i="9"/>
  <c r="M34" i="9"/>
  <c r="L34" i="9"/>
  <c r="K34" i="9"/>
  <c r="J34" i="9"/>
  <c r="I34" i="9"/>
  <c r="M33" i="9"/>
  <c r="L33" i="9"/>
  <c r="K33" i="9"/>
  <c r="J33" i="9"/>
  <c r="I33" i="9"/>
  <c r="M31" i="9"/>
  <c r="L31" i="9"/>
  <c r="K31" i="9"/>
  <c r="J31" i="9"/>
  <c r="I31" i="9"/>
  <c r="M30" i="9"/>
  <c r="L30" i="9"/>
  <c r="K30" i="9"/>
  <c r="J30" i="9"/>
  <c r="I30" i="9"/>
  <c r="M29" i="9"/>
  <c r="L29" i="9"/>
  <c r="K29" i="9"/>
  <c r="J29" i="9"/>
  <c r="I29" i="9"/>
  <c r="M28" i="9"/>
  <c r="L28" i="9"/>
  <c r="K28" i="9"/>
  <c r="J28" i="9"/>
  <c r="I28" i="9"/>
  <c r="M27" i="9"/>
  <c r="L27" i="9"/>
  <c r="K27" i="9"/>
  <c r="J27" i="9"/>
  <c r="I27" i="9"/>
  <c r="M26" i="9"/>
  <c r="L26" i="9"/>
  <c r="K26" i="9"/>
  <c r="J26" i="9"/>
  <c r="I26" i="9"/>
  <c r="M25" i="9"/>
  <c r="L25" i="9"/>
  <c r="K25" i="9"/>
  <c r="J25" i="9"/>
  <c r="I25" i="9"/>
  <c r="M24" i="9"/>
  <c r="L24" i="9"/>
  <c r="K24" i="9"/>
  <c r="J24" i="9"/>
  <c r="I24" i="9"/>
  <c r="M23" i="9"/>
  <c r="L23" i="9"/>
  <c r="K23" i="9"/>
  <c r="J23" i="9"/>
  <c r="I23" i="9"/>
  <c r="M22" i="9"/>
  <c r="L22" i="9"/>
  <c r="K22" i="9"/>
  <c r="J22" i="9"/>
  <c r="I22" i="9"/>
  <c r="M21" i="9"/>
  <c r="L21" i="9"/>
  <c r="K21" i="9"/>
  <c r="J21" i="9"/>
  <c r="I21" i="9"/>
  <c r="M19" i="9"/>
  <c r="L19" i="9"/>
  <c r="K19" i="9"/>
  <c r="J19" i="9"/>
  <c r="I19" i="9"/>
  <c r="M18" i="9"/>
  <c r="L18" i="9"/>
  <c r="K18" i="9"/>
  <c r="J18" i="9"/>
  <c r="I18" i="9"/>
  <c r="M17" i="9"/>
  <c r="L17" i="9"/>
  <c r="K17" i="9"/>
  <c r="J17" i="9"/>
  <c r="I17" i="9"/>
  <c r="M16" i="9"/>
  <c r="L16" i="9"/>
  <c r="K16" i="9"/>
  <c r="J16" i="9"/>
  <c r="I16" i="9"/>
  <c r="M15" i="9"/>
  <c r="L15" i="9"/>
  <c r="K15" i="9"/>
  <c r="J15" i="9"/>
  <c r="I15" i="9"/>
  <c r="M14" i="9"/>
  <c r="L14" i="9"/>
  <c r="K14" i="9"/>
  <c r="J14" i="9"/>
  <c r="I14" i="9"/>
  <c r="M13" i="9"/>
  <c r="L13" i="9"/>
  <c r="K13" i="9"/>
  <c r="J13" i="9"/>
  <c r="I13" i="9"/>
  <c r="M12" i="9"/>
  <c r="L12" i="9"/>
  <c r="K12" i="9"/>
  <c r="J12" i="9"/>
  <c r="I12" i="9"/>
  <c r="M11" i="9"/>
  <c r="L11" i="9"/>
  <c r="K11" i="9"/>
  <c r="J11" i="9"/>
  <c r="I11" i="9"/>
  <c r="M10" i="9"/>
  <c r="L10" i="9"/>
  <c r="K10" i="9"/>
  <c r="J10" i="9"/>
  <c r="I10" i="9"/>
  <c r="M9" i="9"/>
  <c r="L9" i="9"/>
  <c r="K9" i="9"/>
  <c r="J9" i="9"/>
  <c r="I9" i="9"/>
  <c r="M8" i="9"/>
  <c r="L8" i="9"/>
  <c r="K8" i="9"/>
  <c r="J8" i="9"/>
  <c r="I8" i="9"/>
  <c r="M7" i="9"/>
  <c r="L7" i="9"/>
  <c r="K7" i="9"/>
  <c r="J7" i="9"/>
  <c r="I7" i="9"/>
  <c r="M6" i="9"/>
  <c r="L6" i="9"/>
  <c r="K6" i="9"/>
  <c r="J6" i="9"/>
  <c r="I6" i="9"/>
  <c r="M5" i="9"/>
  <c r="L5" i="9"/>
  <c r="K5" i="9"/>
  <c r="J5" i="9"/>
  <c r="I5" i="9"/>
  <c r="M75" i="6"/>
  <c r="L75" i="6"/>
  <c r="K75" i="6"/>
  <c r="J75" i="6"/>
  <c r="I75" i="6"/>
  <c r="M74" i="6"/>
  <c r="L74" i="6"/>
  <c r="K74" i="6"/>
  <c r="J74" i="6"/>
  <c r="I74" i="6"/>
  <c r="M73" i="6"/>
  <c r="L73" i="6"/>
  <c r="K73" i="6"/>
  <c r="J73" i="6"/>
  <c r="I73" i="6"/>
  <c r="M72" i="6"/>
  <c r="L72" i="6"/>
  <c r="K72" i="6"/>
  <c r="J72" i="6"/>
  <c r="I72" i="6"/>
  <c r="M71" i="6"/>
  <c r="L71" i="6"/>
  <c r="K71" i="6"/>
  <c r="J71" i="6"/>
  <c r="I71" i="6"/>
  <c r="M70" i="6"/>
  <c r="L70" i="6"/>
  <c r="K70" i="6"/>
  <c r="J70" i="6"/>
  <c r="I70" i="6"/>
  <c r="M69" i="6"/>
  <c r="L69" i="6"/>
  <c r="K69" i="6"/>
  <c r="J69" i="6"/>
  <c r="I69" i="6"/>
  <c r="M67" i="6"/>
  <c r="L67" i="6"/>
  <c r="K67" i="6"/>
  <c r="J67" i="6"/>
  <c r="I67" i="6"/>
  <c r="M65" i="6"/>
  <c r="L65" i="6"/>
  <c r="K65" i="6"/>
  <c r="J65" i="6"/>
  <c r="I65" i="6"/>
  <c r="M63" i="6"/>
  <c r="L63" i="6"/>
  <c r="K63" i="6"/>
  <c r="J63" i="6"/>
  <c r="I63" i="6"/>
  <c r="M62" i="6"/>
  <c r="L62" i="6"/>
  <c r="K62" i="6"/>
  <c r="J62" i="6"/>
  <c r="I62" i="6"/>
  <c r="M61" i="6"/>
  <c r="L61" i="6"/>
  <c r="K61" i="6"/>
  <c r="J61" i="6"/>
  <c r="I61" i="6"/>
  <c r="M59" i="6"/>
  <c r="L59" i="6"/>
  <c r="K59" i="6"/>
  <c r="J59" i="6"/>
  <c r="I59" i="6"/>
  <c r="M58" i="6"/>
  <c r="L58" i="6"/>
  <c r="K58" i="6"/>
  <c r="J58" i="6"/>
  <c r="I58" i="6"/>
  <c r="M56" i="6"/>
  <c r="L56" i="6"/>
  <c r="K56" i="6"/>
  <c r="J56" i="6"/>
  <c r="I56" i="6"/>
  <c r="M55" i="6"/>
  <c r="L55" i="6"/>
  <c r="K55" i="6"/>
  <c r="J55" i="6"/>
  <c r="I55" i="6"/>
  <c r="M54" i="6"/>
  <c r="L54" i="6"/>
  <c r="K54" i="6"/>
  <c r="J54" i="6"/>
  <c r="I54" i="6"/>
  <c r="M53" i="6"/>
  <c r="L53" i="6"/>
  <c r="K53" i="6"/>
  <c r="J53" i="6"/>
  <c r="I53" i="6"/>
  <c r="M52" i="6"/>
  <c r="L52" i="6"/>
  <c r="K52" i="6"/>
  <c r="J52" i="6"/>
  <c r="I52" i="6"/>
  <c r="M50" i="6"/>
  <c r="L50" i="6"/>
  <c r="K50" i="6"/>
  <c r="J50" i="6"/>
  <c r="I50" i="6"/>
  <c r="M49" i="6"/>
  <c r="L49" i="6"/>
  <c r="K49" i="6"/>
  <c r="J49" i="6"/>
  <c r="I49" i="6"/>
  <c r="M48" i="6"/>
  <c r="L48" i="6"/>
  <c r="K48" i="6"/>
  <c r="J48" i="6"/>
  <c r="I48" i="6"/>
  <c r="M47" i="6"/>
  <c r="L47" i="6"/>
  <c r="K47" i="6"/>
  <c r="J47" i="6"/>
  <c r="I47" i="6"/>
  <c r="M46" i="6"/>
  <c r="L46" i="6"/>
  <c r="K46" i="6"/>
  <c r="J46" i="6"/>
  <c r="I46" i="6"/>
  <c r="M45" i="6"/>
  <c r="L45" i="6"/>
  <c r="K45" i="6"/>
  <c r="J45" i="6"/>
  <c r="I45" i="6"/>
  <c r="M43" i="6"/>
  <c r="L43" i="6"/>
  <c r="K43" i="6"/>
  <c r="J43" i="6"/>
  <c r="I43" i="6"/>
  <c r="M42" i="6"/>
  <c r="L42" i="6"/>
  <c r="K42" i="6"/>
  <c r="J42" i="6"/>
  <c r="I42" i="6"/>
  <c r="M41" i="6"/>
  <c r="L41" i="6"/>
  <c r="K41" i="6"/>
  <c r="J41" i="6"/>
  <c r="I41" i="6"/>
  <c r="M40" i="6"/>
  <c r="L40" i="6"/>
  <c r="K40" i="6"/>
  <c r="J40" i="6"/>
  <c r="I40" i="6"/>
  <c r="M39" i="6"/>
  <c r="L39" i="6"/>
  <c r="K39" i="6"/>
  <c r="J39" i="6"/>
  <c r="I39" i="6"/>
  <c r="M38" i="6"/>
  <c r="L38" i="6"/>
  <c r="K38" i="6"/>
  <c r="J38" i="6"/>
  <c r="I38" i="6"/>
  <c r="M37" i="6"/>
  <c r="L37" i="6"/>
  <c r="K37" i="6"/>
  <c r="J37" i="6"/>
  <c r="I37" i="6"/>
  <c r="M36" i="6"/>
  <c r="L36" i="6"/>
  <c r="K36" i="6"/>
  <c r="J36" i="6"/>
  <c r="I36" i="6"/>
  <c r="M35" i="6"/>
  <c r="L35" i="6"/>
  <c r="K35" i="6"/>
  <c r="J35" i="6"/>
  <c r="I35" i="6"/>
  <c r="M34" i="6"/>
  <c r="L34" i="6"/>
  <c r="K34" i="6"/>
  <c r="J34" i="6"/>
  <c r="I34" i="6"/>
  <c r="M33" i="6"/>
  <c r="L33" i="6"/>
  <c r="K33" i="6"/>
  <c r="J33" i="6"/>
  <c r="I33" i="6"/>
  <c r="M31" i="6"/>
  <c r="L31" i="6"/>
  <c r="K31" i="6"/>
  <c r="J31" i="6"/>
  <c r="I31" i="6"/>
  <c r="M30" i="6"/>
  <c r="L30" i="6"/>
  <c r="K30" i="6"/>
  <c r="J30" i="6"/>
  <c r="I30" i="6"/>
  <c r="M29" i="6"/>
  <c r="L29" i="6"/>
  <c r="K29" i="6"/>
  <c r="J29" i="6"/>
  <c r="I29" i="6"/>
  <c r="M28" i="6"/>
  <c r="L28" i="6"/>
  <c r="K28" i="6"/>
  <c r="J28" i="6"/>
  <c r="I28" i="6"/>
  <c r="M27" i="6"/>
  <c r="L27" i="6"/>
  <c r="K27" i="6"/>
  <c r="J27" i="6"/>
  <c r="I27" i="6"/>
  <c r="M26" i="6"/>
  <c r="L26" i="6"/>
  <c r="K26" i="6"/>
  <c r="J26" i="6"/>
  <c r="I26" i="6"/>
  <c r="M25" i="6"/>
  <c r="L25" i="6"/>
  <c r="K25" i="6"/>
  <c r="J25" i="6"/>
  <c r="I25" i="6"/>
  <c r="M24" i="6"/>
  <c r="L24" i="6"/>
  <c r="K24" i="6"/>
  <c r="J24" i="6"/>
  <c r="I24" i="6"/>
  <c r="M23" i="6"/>
  <c r="L23" i="6"/>
  <c r="K23" i="6"/>
  <c r="J23" i="6"/>
  <c r="I23" i="6"/>
  <c r="M22" i="6"/>
  <c r="L22" i="6"/>
  <c r="K22" i="6"/>
  <c r="J22" i="6"/>
  <c r="I22" i="6"/>
  <c r="M21" i="6"/>
  <c r="L21" i="6"/>
  <c r="K21" i="6"/>
  <c r="J21" i="6"/>
  <c r="I21" i="6"/>
  <c r="M19" i="6"/>
  <c r="L19" i="6"/>
  <c r="K19" i="6"/>
  <c r="J19" i="6"/>
  <c r="I19" i="6"/>
  <c r="M18" i="6"/>
  <c r="L18" i="6"/>
  <c r="K18" i="6"/>
  <c r="J18" i="6"/>
  <c r="I18" i="6"/>
  <c r="M17" i="6"/>
  <c r="L17" i="6"/>
  <c r="K17" i="6"/>
  <c r="J17" i="6"/>
  <c r="I17" i="6"/>
  <c r="M16" i="6"/>
  <c r="L16" i="6"/>
  <c r="K16" i="6"/>
  <c r="J16" i="6"/>
  <c r="I16" i="6"/>
  <c r="M15" i="6"/>
  <c r="L15" i="6"/>
  <c r="K15" i="6"/>
  <c r="J15" i="6"/>
  <c r="I15" i="6"/>
  <c r="M14" i="6"/>
  <c r="L14" i="6"/>
  <c r="K14" i="6"/>
  <c r="J14" i="6"/>
  <c r="I14" i="6"/>
  <c r="M13" i="6"/>
  <c r="L13" i="6"/>
  <c r="K13" i="6"/>
  <c r="J13" i="6"/>
  <c r="I13" i="6"/>
  <c r="M12" i="6"/>
  <c r="L12" i="6"/>
  <c r="K12" i="6"/>
  <c r="J12" i="6"/>
  <c r="I12" i="6"/>
  <c r="M11" i="6"/>
  <c r="L11" i="6"/>
  <c r="K11" i="6"/>
  <c r="J11" i="6"/>
  <c r="I11" i="6"/>
  <c r="M10" i="6"/>
  <c r="L10" i="6"/>
  <c r="K10" i="6"/>
  <c r="J10" i="6"/>
  <c r="I10" i="6"/>
  <c r="M9" i="6"/>
  <c r="L9" i="6"/>
  <c r="K9" i="6"/>
  <c r="J9" i="6"/>
  <c r="I9" i="6"/>
  <c r="M8" i="6"/>
  <c r="L8" i="6"/>
  <c r="K8" i="6"/>
  <c r="J8" i="6"/>
  <c r="I8" i="6"/>
  <c r="M7" i="6"/>
  <c r="L7" i="6"/>
  <c r="K7" i="6"/>
  <c r="J7" i="6"/>
  <c r="I7" i="6"/>
  <c r="M6" i="6"/>
  <c r="L6" i="6"/>
  <c r="K6" i="6"/>
  <c r="J6" i="6"/>
  <c r="I6" i="6"/>
  <c r="M5" i="6"/>
  <c r="L5" i="6"/>
  <c r="K5" i="6"/>
  <c r="J5" i="6"/>
  <c r="I5" i="6"/>
  <c r="C74" i="2" l="1"/>
  <c r="C73" i="2"/>
  <c r="C72" i="2"/>
  <c r="C71" i="2"/>
  <c r="C70" i="2"/>
  <c r="C69" i="2"/>
  <c r="C68" i="2"/>
  <c r="C66" i="2"/>
  <c r="C64" i="2"/>
  <c r="C62" i="2"/>
  <c r="C61" i="2"/>
  <c r="C60" i="2"/>
  <c r="C58" i="2"/>
  <c r="C57" i="2"/>
  <c r="C55" i="2"/>
  <c r="C54" i="2"/>
  <c r="C53" i="2"/>
  <c r="C52" i="2"/>
  <c r="C51" i="2"/>
  <c r="C49" i="2"/>
  <c r="C48" i="2"/>
  <c r="C47" i="2"/>
  <c r="C46" i="2"/>
  <c r="C45" i="2"/>
  <c r="C44" i="2"/>
  <c r="C42" i="2"/>
  <c r="C41" i="2"/>
  <c r="C40" i="2"/>
  <c r="C39" i="2"/>
  <c r="C38" i="2"/>
  <c r="C37" i="2"/>
  <c r="C36" i="2"/>
  <c r="C35" i="2"/>
  <c r="C34" i="2"/>
  <c r="C33" i="2"/>
  <c r="C32" i="2"/>
  <c r="C30" i="2"/>
  <c r="C29" i="2"/>
  <c r="C28" i="2"/>
  <c r="C27" i="2"/>
  <c r="C26" i="2"/>
  <c r="C25" i="2"/>
  <c r="C24" i="2"/>
  <c r="C23" i="2"/>
  <c r="C22" i="2"/>
  <c r="C21" i="2"/>
  <c r="C20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D74" i="2"/>
  <c r="D73" i="2"/>
  <c r="D72" i="2"/>
  <c r="D71" i="2"/>
  <c r="D70" i="2"/>
  <c r="D69" i="2"/>
  <c r="D68" i="2"/>
  <c r="D66" i="2"/>
  <c r="D64" i="2"/>
  <c r="D62" i="2"/>
  <c r="D61" i="2"/>
  <c r="D60" i="2"/>
  <c r="D58" i="2"/>
  <c r="D57" i="2"/>
  <c r="D55" i="2"/>
  <c r="D54" i="2"/>
  <c r="D53" i="2"/>
  <c r="D52" i="2"/>
  <c r="D51" i="2"/>
  <c r="D49" i="2"/>
  <c r="D48" i="2"/>
  <c r="D47" i="2"/>
  <c r="D46" i="2"/>
  <c r="D45" i="2"/>
  <c r="D44" i="2"/>
  <c r="D42" i="2"/>
  <c r="D41" i="2"/>
  <c r="D40" i="2"/>
  <c r="D39" i="2"/>
  <c r="D38" i="2"/>
  <c r="D37" i="2"/>
  <c r="D36" i="2"/>
  <c r="D35" i="2"/>
  <c r="D34" i="2"/>
  <c r="D33" i="2"/>
  <c r="D32" i="2"/>
  <c r="D30" i="2"/>
  <c r="D29" i="2"/>
  <c r="D28" i="2"/>
  <c r="D27" i="2"/>
  <c r="D26" i="2"/>
  <c r="D25" i="2"/>
  <c r="D24" i="2"/>
  <c r="D23" i="2"/>
  <c r="D22" i="2"/>
  <c r="D21" i="2"/>
  <c r="D20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E74" i="2"/>
  <c r="E73" i="2"/>
  <c r="E72" i="2"/>
  <c r="E71" i="2"/>
  <c r="E70" i="2"/>
  <c r="E69" i="2"/>
  <c r="E68" i="2"/>
  <c r="E66" i="2"/>
  <c r="E64" i="2"/>
  <c r="E62" i="2"/>
  <c r="E61" i="2"/>
  <c r="E60" i="2"/>
  <c r="E58" i="2"/>
  <c r="E57" i="2"/>
  <c r="E55" i="2"/>
  <c r="E54" i="2"/>
  <c r="E53" i="2"/>
  <c r="E52" i="2"/>
  <c r="E51" i="2"/>
  <c r="E49" i="2"/>
  <c r="E48" i="2"/>
  <c r="E47" i="2"/>
  <c r="E46" i="2"/>
  <c r="E45" i="2"/>
  <c r="E44" i="2"/>
  <c r="E42" i="2"/>
  <c r="E41" i="2"/>
  <c r="E40" i="2"/>
  <c r="E39" i="2"/>
  <c r="E38" i="2"/>
  <c r="E37" i="2"/>
  <c r="E36" i="2"/>
  <c r="E35" i="2"/>
  <c r="E34" i="2"/>
  <c r="E33" i="2"/>
  <c r="E32" i="2"/>
  <c r="E30" i="2"/>
  <c r="E29" i="2"/>
  <c r="E28" i="2"/>
  <c r="E27" i="2"/>
  <c r="E26" i="2"/>
  <c r="E25" i="2"/>
  <c r="E24" i="2"/>
  <c r="E23" i="2"/>
  <c r="E22" i="2"/>
  <c r="E21" i="2"/>
  <c r="E20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F73" i="2" l="1"/>
  <c r="F72" i="2"/>
  <c r="F71" i="2"/>
  <c r="F70" i="2"/>
  <c r="F69" i="2"/>
  <c r="F68" i="2"/>
  <c r="F66" i="2"/>
  <c r="F64" i="2"/>
  <c r="F62" i="2"/>
  <c r="F61" i="2"/>
  <c r="F60" i="2"/>
  <c r="F58" i="2"/>
  <c r="F57" i="2"/>
  <c r="F55" i="2"/>
  <c r="F54" i="2"/>
  <c r="F53" i="2"/>
  <c r="F52" i="2"/>
  <c r="F51" i="2"/>
  <c r="F49" i="2"/>
  <c r="F48" i="2"/>
  <c r="F47" i="2"/>
  <c r="F46" i="2"/>
  <c r="F45" i="2"/>
  <c r="F44" i="2"/>
  <c r="F42" i="2"/>
  <c r="F41" i="2"/>
  <c r="F40" i="2"/>
  <c r="F39" i="2"/>
  <c r="F38" i="2"/>
  <c r="F37" i="2"/>
  <c r="F36" i="2"/>
  <c r="F35" i="2"/>
  <c r="F34" i="2"/>
  <c r="F33" i="2"/>
  <c r="F32" i="2"/>
  <c r="F30" i="2"/>
  <c r="F29" i="2"/>
  <c r="F28" i="2"/>
  <c r="F27" i="2"/>
  <c r="F26" i="2"/>
  <c r="F25" i="2"/>
  <c r="F24" i="2"/>
  <c r="F23" i="2"/>
  <c r="F22" i="2"/>
  <c r="F21" i="2"/>
  <c r="F20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G74" i="2"/>
  <c r="G73" i="2"/>
  <c r="G72" i="2"/>
  <c r="G71" i="2"/>
  <c r="G70" i="2"/>
  <c r="G69" i="2"/>
  <c r="G68" i="2"/>
  <c r="G66" i="2"/>
  <c r="G64" i="2"/>
  <c r="G62" i="2"/>
  <c r="G61" i="2"/>
  <c r="G60" i="2"/>
  <c r="G58" i="2"/>
  <c r="G57" i="2"/>
  <c r="G55" i="2"/>
  <c r="G54" i="2"/>
  <c r="G53" i="2"/>
  <c r="G52" i="2"/>
  <c r="G51" i="2"/>
  <c r="G49" i="2"/>
  <c r="G48" i="2"/>
  <c r="G47" i="2"/>
  <c r="G46" i="2"/>
  <c r="G45" i="2"/>
  <c r="G44" i="2"/>
  <c r="G42" i="2"/>
  <c r="G41" i="2"/>
  <c r="G40" i="2"/>
  <c r="G39" i="2"/>
  <c r="G38" i="2"/>
  <c r="G37" i="2"/>
  <c r="G36" i="2"/>
  <c r="G35" i="2"/>
  <c r="G34" i="2"/>
  <c r="G33" i="2"/>
  <c r="G32" i="2"/>
  <c r="G30" i="2"/>
  <c r="G29" i="2"/>
  <c r="G28" i="2"/>
  <c r="G27" i="2"/>
  <c r="G26" i="2"/>
  <c r="G25" i="2"/>
  <c r="G24" i="2"/>
  <c r="G23" i="2"/>
  <c r="G22" i="2"/>
  <c r="G21" i="2"/>
  <c r="G20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</calcChain>
</file>

<file path=xl/sharedStrings.xml><?xml version="1.0" encoding="utf-8"?>
<sst xmlns="http://schemas.openxmlformats.org/spreadsheetml/2006/main" count="2857" uniqueCount="193">
  <si>
    <t>Primary by channel</t>
  </si>
  <si>
    <t>Primary by location</t>
  </si>
  <si>
    <t>Secondary by channel</t>
  </si>
  <si>
    <t>Secondary by city</t>
  </si>
  <si>
    <t>Fill rate by channel</t>
  </si>
  <si>
    <t>Fill rate by SKU</t>
  </si>
  <si>
    <t>Fill rate by FC</t>
  </si>
  <si>
    <t>Category size</t>
  </si>
  <si>
    <t>Market share</t>
  </si>
  <si>
    <t>Seasonality</t>
  </si>
  <si>
    <t>Competition availability</t>
  </si>
  <si>
    <t>Product</t>
  </si>
  <si>
    <t>Compound Chocolate &amp; Cocoa</t>
  </si>
  <si>
    <t>The Select Aisle Dark Compound Chocolate Chips - 150g</t>
  </si>
  <si>
    <t>CHCCSA35</t>
  </si>
  <si>
    <t>TSA Dark Compound Chocolate Chips 50g</t>
  </si>
  <si>
    <t>CHCCSA48</t>
  </si>
  <si>
    <t xml:space="preserve">The Select Aisle's Dark Chocolate Chips - 250g </t>
  </si>
  <si>
    <t>CHCCSA47</t>
  </si>
  <si>
    <t>The Select Aisle Milk Compound Chocolate Chips - 150g</t>
  </si>
  <si>
    <t>CHCCSA33</t>
  </si>
  <si>
    <t>TSA Milk Compound Chocolate Chips 50g</t>
  </si>
  <si>
    <t>CHCCSA49</t>
  </si>
  <si>
    <t>The Select Aisle White Compound Chocolate Chips</t>
  </si>
  <si>
    <t>CHCCSA34</t>
  </si>
  <si>
    <t>The Select Aisle Twin Chocolate Chips 50g</t>
  </si>
  <si>
    <t>CHCCSA50</t>
  </si>
  <si>
    <t>The Select Aisle Dark Compound Chocolate Slab 500g</t>
  </si>
  <si>
    <t>CHCCSSA01</t>
  </si>
  <si>
    <t>The Select Aisle Milk Compound Chocolate Bar 500 g</t>
  </si>
  <si>
    <t>CHCSSA04</t>
  </si>
  <si>
    <t>The Select Aisle White Compound Chocolate Bar 500 g</t>
  </si>
  <si>
    <t>CHCSSA05</t>
  </si>
  <si>
    <t>The Select Aisle Dark Compound Chocolate Slab 150g</t>
  </si>
  <si>
    <t>CHCSSA02</t>
  </si>
  <si>
    <t>The Select Aisle Milk Compound Chocolate Slab 150g</t>
  </si>
  <si>
    <t>CHCSSA03</t>
  </si>
  <si>
    <t>The Select Aisle Cocoa Powder 70g</t>
  </si>
  <si>
    <t>CHCOSA06</t>
  </si>
  <si>
    <t>The Select Aisle Dutch Processed Cocoa Powder  250g</t>
  </si>
  <si>
    <t>CHCOSA01</t>
  </si>
  <si>
    <t>The Select Aisle Drinking Chocolate 200g</t>
  </si>
  <si>
    <t>SAHC02</t>
  </si>
  <si>
    <t>Functional Ingredients</t>
  </si>
  <si>
    <t>The Select Aisle Baking Soda - 100g</t>
  </si>
  <si>
    <t>BSLASA04</t>
  </si>
  <si>
    <t>The Select Aisle Baking Soda - 1kg</t>
  </si>
  <si>
    <t>BSLASA08</t>
  </si>
  <si>
    <t>The Select Aisle Double Acting Baking Powder - 100g</t>
  </si>
  <si>
    <t>BSLASA05</t>
  </si>
  <si>
    <t>The Select Aisle Dry Instant Yeast - 25g</t>
  </si>
  <si>
    <t>BIFISA07</t>
  </si>
  <si>
    <t>The Select Aisle Dry Instant Yeast - 75g</t>
  </si>
  <si>
    <t>BIFISA03</t>
  </si>
  <si>
    <t>The Select Aisle Agar Agar - 20g</t>
  </si>
  <si>
    <t>BIFISA09</t>
  </si>
  <si>
    <t>The Select Aisle Gelatin</t>
  </si>
  <si>
    <t>BIFISA11</t>
  </si>
  <si>
    <t>The Select Aisle Citric Acid</t>
  </si>
  <si>
    <t>BSLASA10</t>
  </si>
  <si>
    <t>The Select Aisle Corn Flour</t>
  </si>
  <si>
    <t>BIFISA10</t>
  </si>
  <si>
    <t>The Select Aisle Icing Sugar 300g</t>
  </si>
  <si>
    <t>BISWSA05</t>
  </si>
  <si>
    <t>The Select Aisle T55 Baking Flour - 453g</t>
  </si>
  <si>
    <t>BSFLSA03</t>
  </si>
  <si>
    <t>Colours &amp; Flavours</t>
  </si>
  <si>
    <t>The Select Aisle Vanilla Essence 30 ml</t>
  </si>
  <si>
    <t>BIEFSA15</t>
  </si>
  <si>
    <t>The Select Aisle Vanilla Flavour - 100ml</t>
  </si>
  <si>
    <t>BIEFSA01</t>
  </si>
  <si>
    <t>The Select Aisle Vanilla Extract - 30ml</t>
  </si>
  <si>
    <t>BIEFSA16</t>
  </si>
  <si>
    <t>The Select Aisle Yellow Gel Food Colour 30ml</t>
  </si>
  <si>
    <t>CDCLSA05</t>
  </si>
  <si>
    <t>The Select Aisle Red Gel Food Colour 30ml</t>
  </si>
  <si>
    <t>CDCLSA01</t>
  </si>
  <si>
    <t>The Select Aisle Dark Green Gel Food Colour 30ml</t>
  </si>
  <si>
    <t>CDCLSA02</t>
  </si>
  <si>
    <t>The Select Aisle Dark Blue Gel Food Colour 30ml</t>
  </si>
  <si>
    <t>CDCLSA03</t>
  </si>
  <si>
    <t>The Select Aisle Sky Blue Gel Food Colour 30ml</t>
  </si>
  <si>
    <t>CDCLSA04</t>
  </si>
  <si>
    <t>The Select Aisle Orange Gel Food Colour 30ml</t>
  </si>
  <si>
    <t>CDCLSA06</t>
  </si>
  <si>
    <t>The Select Aisle Purple Gel Food Colour 30ml</t>
  </si>
  <si>
    <t>CDCLSA07</t>
  </si>
  <si>
    <t>The Select Aisle Pink Gel Food Colour 30ml</t>
  </si>
  <si>
    <t>CDCLSA08</t>
  </si>
  <si>
    <t>Cake Décor</t>
  </si>
  <si>
    <t>The Select Aisle Rainbow Sprinkles - 85g</t>
  </si>
  <si>
    <t>CDSPSA23</t>
  </si>
  <si>
    <t>The Select Aisle Sprinkles Combo Pack - Carnival - 100g</t>
  </si>
  <si>
    <t>CDSPSA40</t>
  </si>
  <si>
    <t>The Select Aisle  Christmas Sprinkles Combo Pack - 100g</t>
  </si>
  <si>
    <t>CDSPSA54</t>
  </si>
  <si>
    <t>The Select Aisle Colourful Sugar Balls - 100g</t>
  </si>
  <si>
    <t>CDSPSA24</t>
  </si>
  <si>
    <t>The Select Aisle Sprinkles Combo Pack - Love - 100g</t>
  </si>
  <si>
    <t>CDSPSA44</t>
  </si>
  <si>
    <t>TSA Tutti Frutti 100g</t>
  </si>
  <si>
    <t>CDTFSA01</t>
  </si>
  <si>
    <t xml:space="preserve">Cake Mixes </t>
  </si>
  <si>
    <t xml:space="preserve">The Select Aisle Eggless Chocolate Cake Mix - 365g </t>
  </si>
  <si>
    <t>BICPSA02</t>
  </si>
  <si>
    <t>The Select Aisle Eggless Vanilla Cake Mix - 365g</t>
  </si>
  <si>
    <t>BICPSA01</t>
  </si>
  <si>
    <t>The Select Aisle Eggless Chocolate Cupcake Kit 190g</t>
  </si>
  <si>
    <t>BICCPSA01</t>
  </si>
  <si>
    <t>The Select Aisle Triple Brownie Mix</t>
  </si>
  <si>
    <t>BIBMSA01</t>
  </si>
  <si>
    <t xml:space="preserve">TSA Double Chocolate Mug Cake Mix </t>
  </si>
  <si>
    <t>BIMCSA01</t>
  </si>
  <si>
    <t xml:space="preserve">Marshmallow </t>
  </si>
  <si>
    <t>The Select Aisle Marshmallow 20g</t>
  </si>
  <si>
    <t>SAMM01</t>
  </si>
  <si>
    <t>The Select Aisle Fluffles 70g</t>
  </si>
  <si>
    <t>SAFLVM01</t>
  </si>
  <si>
    <t xml:space="preserve">Seasonings </t>
  </si>
  <si>
    <t>TSA Paneer Poppers Mix 70g</t>
  </si>
  <si>
    <t>PMPPSA01</t>
  </si>
  <si>
    <t>TSA Chicken Poppers Mix 70g</t>
  </si>
  <si>
    <t>PMCPSA01</t>
  </si>
  <si>
    <t>TSA Panko Bread Crumbs (Granular) 50g</t>
  </si>
  <si>
    <t>COBCSA02</t>
  </si>
  <si>
    <t>Mixes</t>
  </si>
  <si>
    <t>Custard</t>
  </si>
  <si>
    <t>CPVSA02</t>
  </si>
  <si>
    <t>RTC</t>
  </si>
  <si>
    <t>Kunafa Shreds</t>
  </si>
  <si>
    <t>SARKS01</t>
  </si>
  <si>
    <t>Seller Cenral SKUs</t>
  </si>
  <si>
    <t>Halim Seeds 250g</t>
  </si>
  <si>
    <t>SAHAS01</t>
  </si>
  <si>
    <t>Halim Seeds 500g</t>
  </si>
  <si>
    <t>SAHAS02</t>
  </si>
  <si>
    <t>Dark Choco Chips 1kg</t>
  </si>
  <si>
    <t>CHCCSA52</t>
  </si>
  <si>
    <t>White Choco Chips 1kg</t>
  </si>
  <si>
    <t>CHCCSA53</t>
  </si>
  <si>
    <t>Monk Fruit 170g</t>
  </si>
  <si>
    <t>BISWSA06</t>
  </si>
  <si>
    <t>Cocoa Powder 500g</t>
  </si>
  <si>
    <t>CHCOSA07</t>
  </si>
  <si>
    <t>Nutritional Yeast Flakes 45g</t>
  </si>
  <si>
    <t>SANYF01</t>
  </si>
  <si>
    <t>SKU Code</t>
  </si>
  <si>
    <t>MRP</t>
  </si>
  <si>
    <t>TOTAL (in pcs)</t>
  </si>
  <si>
    <t>-</t>
  </si>
  <si>
    <t>Overall</t>
  </si>
  <si>
    <t>Targets</t>
  </si>
  <si>
    <t>Customers mapped to FC</t>
  </si>
  <si>
    <t>DOH</t>
  </si>
  <si>
    <t>SOH Value</t>
  </si>
  <si>
    <t>Mum %</t>
  </si>
  <si>
    <t>Row Labels</t>
  </si>
  <si>
    <t>BSFLSA05</t>
  </si>
  <si>
    <t>CDSPSA38</t>
  </si>
  <si>
    <t>COBCSA01</t>
  </si>
  <si>
    <t>ITCBSA01</t>
  </si>
  <si>
    <t>SAHC01</t>
  </si>
  <si>
    <t>SCPSSA01</t>
  </si>
  <si>
    <t>SCPSSA02</t>
  </si>
  <si>
    <t>SCPSSA03</t>
  </si>
  <si>
    <t>Grand Total</t>
  </si>
  <si>
    <t>SKU ID</t>
  </si>
  <si>
    <t>CPVSA01</t>
  </si>
  <si>
    <t>BIFISA12</t>
  </si>
  <si>
    <t>CHCCSA36</t>
  </si>
  <si>
    <t>CHCOSA02</t>
  </si>
  <si>
    <t>Demand Plan</t>
  </si>
  <si>
    <t>Primary Sales</t>
  </si>
  <si>
    <t>CPVSA03</t>
  </si>
  <si>
    <t>ACSAPM01</t>
  </si>
  <si>
    <t>CDSPSA05</t>
  </si>
  <si>
    <t>CDSPSA26</t>
  </si>
  <si>
    <t>CHCCSA40</t>
  </si>
  <si>
    <t>30SAMC47</t>
  </si>
  <si>
    <t>BSLASA25</t>
  </si>
  <si>
    <t>CHCCSA39</t>
  </si>
  <si>
    <t>BSLASA01</t>
  </si>
  <si>
    <t>Factors</t>
  </si>
  <si>
    <t>Data Source</t>
  </si>
  <si>
    <t>Zoho Books/ERP</t>
  </si>
  <si>
    <t>Channel Dashboards</t>
  </si>
  <si>
    <t>GobbleCube/Dcluttr</t>
  </si>
  <si>
    <t>Internal</t>
  </si>
  <si>
    <t>Contribution by value</t>
  </si>
  <si>
    <t>Notes</t>
  </si>
  <si>
    <t>Days on Hand Inventory</t>
  </si>
  <si>
    <t>Stock on Hand Value</t>
  </si>
  <si>
    <t>Fulfillment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</si>
</sst>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1"/>
      <color rgb="FF000000"/>
      <name val="Aptos"/>
      <family val="2"/>
    </font>
    <font>
      <sz val="10"/>
      <color rgb="FF000000"/>
      <name val="Aptos"/>
      <family val="2"/>
    </font>
    <font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/>
    <xf numFmtId="0" fontId="6" fillId="3" borderId="1" xfId="0" applyFont="1" applyFill="1" applyBorder="1"/>
    <xf numFmtId="0" fontId="4" fillId="3" borderId="1" xfId="0" applyFont="1" applyFill="1" applyBorder="1" applyAlignment="1">
      <alignment horizontal="left" wrapText="1"/>
    </xf>
    <xf numFmtId="0" fontId="0" fillId="3" borderId="1" xfId="0" applyFill="1" applyBorder="1" applyAlignment="1">
      <alignment horizontal="left" vertical="top"/>
    </xf>
    <xf numFmtId="0" fontId="7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/>
    </xf>
    <xf numFmtId="0" fontId="4" fillId="2" borderId="1" xfId="0" applyFont="1" applyFill="1" applyBorder="1"/>
    <xf numFmtId="0" fontId="0" fillId="0" borderId="1" xfId="0" applyBorder="1" applyAlignment="1">
      <alignment horizontal="left"/>
    </xf>
    <xf numFmtId="0" fontId="5" fillId="3" borderId="0" xfId="0" applyFont="1" applyFill="1"/>
    <xf numFmtId="0" fontId="4" fillId="3" borderId="1" xfId="0" applyFont="1" applyFill="1" applyBorder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vertical="top"/>
    </xf>
    <xf numFmtId="164" fontId="4" fillId="2" borderId="1" xfId="1" applyNumberFormat="1" applyFont="1" applyFill="1" applyBorder="1" applyAlignment="1">
      <alignment horizontal="center" vertical="top"/>
    </xf>
    <xf numFmtId="164" fontId="4" fillId="3" borderId="1" xfId="1" applyNumberFormat="1" applyFont="1" applyFill="1" applyBorder="1" applyAlignment="1">
      <alignment horizontal="right" vertical="top"/>
    </xf>
    <xf numFmtId="164" fontId="4" fillId="3" borderId="1" xfId="1" applyNumberFormat="1" applyFont="1" applyFill="1" applyBorder="1" applyAlignment="1">
      <alignment horizontal="center" vertical="top"/>
    </xf>
    <xf numFmtId="17" fontId="3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9" fontId="4" fillId="3" borderId="1" xfId="2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top"/>
    </xf>
    <xf numFmtId="0" fontId="5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2" fillId="7" borderId="2" xfId="0" applyFont="1" applyFill="1" applyBorder="1"/>
    <xf numFmtId="0" fontId="2" fillId="7" borderId="3" xfId="0" applyFont="1" applyFill="1" applyBorder="1" applyAlignment="1">
      <alignment horizontal="left"/>
    </xf>
    <xf numFmtId="0" fontId="2" fillId="7" borderId="3" xfId="0" applyFont="1" applyFill="1" applyBorder="1"/>
    <xf numFmtId="17" fontId="2" fillId="7" borderId="2" xfId="0" applyNumberFormat="1" applyFont="1" applyFill="1" applyBorder="1"/>
    <xf numFmtId="0" fontId="2" fillId="0" borderId="4" xfId="0" applyFont="1" applyBorder="1" applyAlignment="1">
      <alignment horizontal="center"/>
    </xf>
    <xf numFmtId="0" fontId="0" fillId="0" borderId="1" xfId="0" applyBorder="1"/>
  </cellXfs>
  <cellStyles count="3">
    <cellStyle name="Comma" xfId="1" builtinId="3"/>
    <cellStyle name="Normal" xfId="0" builtinId="0"/>
    <cellStyle name="Percent" xfId="2" builtinId="5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ellercentral.amazon.in/skucentral?mSku=SANYF01&amp;condition=New&amp;ref_=myp_sku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ellercentral.amazon.in/skucentral?mSku=SANYF01&amp;condition=New&amp;ref_=myp_skuc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ellercentral.amazon.in/skucentral?mSku=SANYF01&amp;condition=New&amp;ref_=myp_skuc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sellercentral.amazon.in/skucentral?mSku=SANYF01&amp;condition=New&amp;ref_=myp_skuc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sellercentral.amazon.in/skucentral?mSku=SANYF01&amp;condition=New&amp;ref_=myp_skuc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sellercentral.amazon.in/skucentral?mSku=SANYF01&amp;condition=New&amp;ref_=myp_skuc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sellercentral.amazon.in/skucentral?mSku=SANYF01&amp;condition=New&amp;ref_=myp_sku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50DA-CCFF-459C-AE6D-D30CB8E12CDC}">
  <dimension ref="A1:AD75"/>
  <sheetViews>
    <sheetView workbookViewId="0">
      <selection activeCell="M5" sqref="I5:M5"/>
    </sheetView>
  </sheetViews>
  <sheetFormatPr defaultRowHeight="14.5" x14ac:dyDescent="0.35"/>
  <cols>
    <col min="1" max="1" width="56.453125" customWidth="1"/>
    <col min="2" max="2" width="11.90625" bestFit="1" customWidth="1"/>
    <col min="3" max="8" width="13.453125" bestFit="1" customWidth="1"/>
  </cols>
  <sheetData>
    <row r="1" spans="1:30" x14ac:dyDescent="0.35">
      <c r="C1" s="48" t="s">
        <v>171</v>
      </c>
      <c r="D1" s="48"/>
      <c r="E1" s="48"/>
      <c r="F1" s="48"/>
      <c r="G1" s="48"/>
      <c r="H1" s="48"/>
      <c r="I1" s="48" t="s">
        <v>172</v>
      </c>
      <c r="J1" s="48"/>
      <c r="K1" s="48"/>
      <c r="L1" s="48"/>
      <c r="M1" s="48"/>
    </row>
    <row r="2" spans="1:30" x14ac:dyDescent="0.35">
      <c r="B2" s="19" t="s">
        <v>146</v>
      </c>
      <c r="C2" s="27">
        <v>46113</v>
      </c>
      <c r="D2" s="27">
        <v>46143</v>
      </c>
      <c r="E2" s="27">
        <v>46174</v>
      </c>
      <c r="F2" s="27">
        <v>46204</v>
      </c>
      <c r="G2" s="27">
        <v>46235</v>
      </c>
      <c r="H2" s="27">
        <v>46266</v>
      </c>
      <c r="I2" s="27">
        <v>46113</v>
      </c>
      <c r="J2" s="27">
        <v>46143</v>
      </c>
      <c r="K2" s="27">
        <v>46174</v>
      </c>
      <c r="L2" s="27">
        <v>46204</v>
      </c>
      <c r="M2" s="27">
        <v>46235</v>
      </c>
      <c r="Q2" s="44" t="s">
        <v>156</v>
      </c>
      <c r="R2" s="47">
        <v>46113</v>
      </c>
      <c r="T2" s="44" t="s">
        <v>156</v>
      </c>
      <c r="U2" s="47">
        <v>46143</v>
      </c>
      <c r="W2" s="44" t="s">
        <v>156</v>
      </c>
      <c r="X2" s="47">
        <v>46174</v>
      </c>
      <c r="Z2" s="44" t="s">
        <v>156</v>
      </c>
      <c r="AA2" s="47">
        <v>46204</v>
      </c>
      <c r="AC2" s="44" t="s">
        <v>156</v>
      </c>
      <c r="AD2" s="47">
        <v>46235</v>
      </c>
    </row>
    <row r="3" spans="1:30" x14ac:dyDescent="0.35">
      <c r="A3" s="1" t="s">
        <v>11</v>
      </c>
      <c r="B3" s="2"/>
      <c r="C3" s="21" t="s">
        <v>148</v>
      </c>
      <c r="D3" s="21" t="s">
        <v>148</v>
      </c>
      <c r="E3" s="21" t="s">
        <v>148</v>
      </c>
      <c r="F3" s="21" t="s">
        <v>148</v>
      </c>
      <c r="G3" s="21" t="s">
        <v>148</v>
      </c>
      <c r="H3" s="21" t="s">
        <v>148</v>
      </c>
      <c r="I3" s="21" t="s">
        <v>148</v>
      </c>
      <c r="J3" s="21" t="s">
        <v>148</v>
      </c>
      <c r="K3" s="21" t="s">
        <v>148</v>
      </c>
      <c r="L3" s="21" t="s">
        <v>148</v>
      </c>
      <c r="M3" s="21" t="s">
        <v>148</v>
      </c>
      <c r="Q3" s="43" t="s">
        <v>110</v>
      </c>
      <c r="R3">
        <v>364</v>
      </c>
      <c r="T3" s="43" t="s">
        <v>174</v>
      </c>
      <c r="U3">
        <v>20</v>
      </c>
      <c r="W3" s="43" t="s">
        <v>174</v>
      </c>
      <c r="X3">
        <v>20</v>
      </c>
      <c r="Z3" s="43" t="s">
        <v>110</v>
      </c>
      <c r="AA3">
        <v>517</v>
      </c>
      <c r="AC3" s="43" t="s">
        <v>110</v>
      </c>
      <c r="AD3">
        <v>594</v>
      </c>
    </row>
    <row r="4" spans="1:30" x14ac:dyDescent="0.35">
      <c r="A4" s="3" t="s">
        <v>12</v>
      </c>
      <c r="B4" s="4"/>
      <c r="C4" s="4"/>
      <c r="D4" s="4"/>
      <c r="E4" s="4"/>
      <c r="F4" s="4"/>
      <c r="G4" s="4"/>
      <c r="H4" s="22"/>
      <c r="I4" s="22"/>
      <c r="J4" s="22"/>
      <c r="K4" s="22"/>
      <c r="L4" s="22"/>
      <c r="M4" s="22"/>
      <c r="Q4" s="43" t="s">
        <v>108</v>
      </c>
      <c r="R4">
        <v>266</v>
      </c>
      <c r="T4" s="43" t="s">
        <v>110</v>
      </c>
      <c r="U4">
        <v>210</v>
      </c>
      <c r="W4" s="43" t="s">
        <v>110</v>
      </c>
      <c r="X4">
        <v>154</v>
      </c>
      <c r="Z4" s="43" t="s">
        <v>108</v>
      </c>
      <c r="AA4">
        <v>953</v>
      </c>
      <c r="AC4" s="43" t="s">
        <v>108</v>
      </c>
      <c r="AD4">
        <v>14</v>
      </c>
    </row>
    <row r="5" spans="1:30" x14ac:dyDescent="0.35">
      <c r="A5" s="5" t="s">
        <v>13</v>
      </c>
      <c r="B5" s="6" t="s">
        <v>14</v>
      </c>
      <c r="C5" s="23">
        <v>5604.2981378706127</v>
      </c>
      <c r="D5" s="23">
        <v>5604.2981378706127</v>
      </c>
      <c r="E5" s="23">
        <v>9413.8884600131805</v>
      </c>
      <c r="F5" s="23">
        <v>9526.9680615046927</v>
      </c>
      <c r="G5" s="23">
        <v>13545.779281322699</v>
      </c>
      <c r="H5" s="23">
        <v>13413.36820025835</v>
      </c>
      <c r="I5" s="23">
        <f>IFERROR(VLOOKUP($B5,$Q$2:$R$81,2,FALSE),"-")</f>
        <v>13920</v>
      </c>
      <c r="J5" s="23">
        <f>IFERROR(VLOOKUP($B5,$T$2:$U$81,2,FALSE),"-")</f>
        <v>13680</v>
      </c>
      <c r="K5" s="23">
        <f>IFERROR(VLOOKUP($B5,$W$2:$X$81,2,FALSE),"-")</f>
        <v>16712</v>
      </c>
      <c r="L5" s="23">
        <f>IFERROR(VLOOKUP($B5,$Z$2:$AA$81,2,FALSE),"-")</f>
        <v>18760</v>
      </c>
      <c r="M5" s="23">
        <f>IFERROR(VLOOKUP($B5,$AC$2:$AD$81,2,FALSE),"-")</f>
        <v>11001</v>
      </c>
      <c r="Q5" s="43" t="s">
        <v>106</v>
      </c>
      <c r="R5">
        <v>1226</v>
      </c>
      <c r="T5" s="43" t="s">
        <v>108</v>
      </c>
      <c r="U5">
        <v>364</v>
      </c>
      <c r="W5" s="43" t="s">
        <v>108</v>
      </c>
      <c r="X5">
        <v>994</v>
      </c>
      <c r="Z5" s="43" t="s">
        <v>106</v>
      </c>
      <c r="AA5">
        <v>2752</v>
      </c>
      <c r="AC5" s="43" t="s">
        <v>106</v>
      </c>
      <c r="AD5">
        <v>2682</v>
      </c>
    </row>
    <row r="6" spans="1:30" x14ac:dyDescent="0.35">
      <c r="A6" s="7" t="s">
        <v>15</v>
      </c>
      <c r="B6" s="8" t="s">
        <v>16</v>
      </c>
      <c r="C6" s="23">
        <v>4487.2155839786565</v>
      </c>
      <c r="D6" s="23">
        <v>4487.2155839786565</v>
      </c>
      <c r="E6" s="23">
        <v>22789.14009903324</v>
      </c>
      <c r="F6" s="23">
        <v>20818.044379361923</v>
      </c>
      <c r="G6" s="23">
        <v>24229.642481937473</v>
      </c>
      <c r="H6" s="23">
        <v>26440.989533126285</v>
      </c>
      <c r="I6" s="23">
        <f t="shared" ref="I6:I70" si="0">IFERROR(VLOOKUP($B6,$Q$2:$R$81,2,FALSE),"-")</f>
        <v>20160</v>
      </c>
      <c r="J6" s="23">
        <f t="shared" ref="J6:J70" si="1">IFERROR(VLOOKUP($B6,$T$2:$U$81,2,FALSE),"-")</f>
        <v>15480</v>
      </c>
      <c r="K6" s="23">
        <f t="shared" ref="K6:K70" si="2">IFERROR(VLOOKUP($B6,$W$2:$X$81,2,FALSE),"-")</f>
        <v>41581</v>
      </c>
      <c r="L6" s="23">
        <f t="shared" ref="L6:L70" si="3">IFERROR(VLOOKUP($B6,$Z$2:$AA$81,2,FALSE),"-")</f>
        <v>26653</v>
      </c>
      <c r="M6" s="23">
        <f t="shared" ref="M6:M70" si="4">IFERROR(VLOOKUP($B6,$AC$2:$AD$81,2,FALSE),"-")</f>
        <v>24000</v>
      </c>
      <c r="Q6" s="43" t="s">
        <v>104</v>
      </c>
      <c r="R6">
        <v>1184</v>
      </c>
      <c r="T6" s="43" t="s">
        <v>106</v>
      </c>
      <c r="U6">
        <v>1070</v>
      </c>
      <c r="W6" s="43" t="s">
        <v>106</v>
      </c>
      <c r="X6">
        <v>2596</v>
      </c>
      <c r="Z6" s="43" t="s">
        <v>104</v>
      </c>
      <c r="AA6">
        <v>3542</v>
      </c>
      <c r="AC6" s="43" t="s">
        <v>104</v>
      </c>
      <c r="AD6">
        <v>2381</v>
      </c>
    </row>
    <row r="7" spans="1:30" x14ac:dyDescent="0.35">
      <c r="A7" s="7" t="s">
        <v>17</v>
      </c>
      <c r="B7" s="8" t="s">
        <v>18</v>
      </c>
      <c r="C7" s="23" t="s">
        <v>149</v>
      </c>
      <c r="D7" s="23" t="s">
        <v>149</v>
      </c>
      <c r="E7" s="23" t="s">
        <v>149</v>
      </c>
      <c r="F7" s="23" t="s">
        <v>149</v>
      </c>
      <c r="G7" s="23" t="s">
        <v>149</v>
      </c>
      <c r="H7" s="23" t="s">
        <v>149</v>
      </c>
      <c r="I7" s="23" t="str">
        <f t="shared" si="0"/>
        <v>-</v>
      </c>
      <c r="J7" s="23">
        <f t="shared" si="1"/>
        <v>12</v>
      </c>
      <c r="K7" s="23">
        <f t="shared" si="2"/>
        <v>62</v>
      </c>
      <c r="L7" s="23" t="str">
        <f t="shared" si="3"/>
        <v>-</v>
      </c>
      <c r="M7" s="23" t="str">
        <f t="shared" si="4"/>
        <v>-</v>
      </c>
      <c r="Q7" s="43" t="s">
        <v>70</v>
      </c>
      <c r="R7">
        <v>3696</v>
      </c>
      <c r="T7" s="43" t="s">
        <v>104</v>
      </c>
      <c r="U7">
        <v>2158</v>
      </c>
      <c r="W7" s="43" t="s">
        <v>104</v>
      </c>
      <c r="X7">
        <v>3328</v>
      </c>
      <c r="Z7" s="43" t="s">
        <v>70</v>
      </c>
      <c r="AA7">
        <v>20112</v>
      </c>
      <c r="AC7" s="43" t="s">
        <v>70</v>
      </c>
      <c r="AD7">
        <v>8976</v>
      </c>
    </row>
    <row r="8" spans="1:30" x14ac:dyDescent="0.35">
      <c r="A8" s="5" t="s">
        <v>19</v>
      </c>
      <c r="B8" s="9" t="s">
        <v>20</v>
      </c>
      <c r="C8" s="23">
        <v>3856.4742203503388</v>
      </c>
      <c r="D8" s="23">
        <v>3856.4742203503388</v>
      </c>
      <c r="E8" s="23">
        <v>6340.3978331969611</v>
      </c>
      <c r="F8" s="23">
        <v>6112.3321255338524</v>
      </c>
      <c r="G8" s="23">
        <v>9765.855062466615</v>
      </c>
      <c r="H8" s="23">
        <v>8770.9814739922404</v>
      </c>
      <c r="I8" s="23">
        <f t="shared" si="0"/>
        <v>10296</v>
      </c>
      <c r="J8" s="23">
        <f t="shared" si="1"/>
        <v>10344</v>
      </c>
      <c r="K8" s="23">
        <f t="shared" si="2"/>
        <v>13968</v>
      </c>
      <c r="L8" s="23">
        <f t="shared" si="3"/>
        <v>11928</v>
      </c>
      <c r="M8" s="23">
        <f t="shared" si="4"/>
        <v>6264</v>
      </c>
      <c r="Q8" s="43" t="s">
        <v>68</v>
      </c>
      <c r="R8">
        <v>22656</v>
      </c>
      <c r="T8" s="43" t="s">
        <v>70</v>
      </c>
      <c r="U8">
        <v>4320</v>
      </c>
      <c r="W8" s="43" t="s">
        <v>70</v>
      </c>
      <c r="X8">
        <v>17004</v>
      </c>
      <c r="Z8" s="43" t="s">
        <v>68</v>
      </c>
      <c r="AA8">
        <v>37632</v>
      </c>
      <c r="AC8" s="43" t="s">
        <v>68</v>
      </c>
      <c r="AD8">
        <v>51936</v>
      </c>
    </row>
    <row r="9" spans="1:30" x14ac:dyDescent="0.35">
      <c r="A9" s="7" t="s">
        <v>21</v>
      </c>
      <c r="B9" s="8" t="s">
        <v>22</v>
      </c>
      <c r="C9" s="23">
        <v>3243.6515305804887</v>
      </c>
      <c r="D9" s="23">
        <v>3243.6515305804887</v>
      </c>
      <c r="E9" s="23">
        <v>8379.1830942381148</v>
      </c>
      <c r="F9" s="23">
        <v>6748.6370755719136</v>
      </c>
      <c r="G9" s="23">
        <v>7554.4960776280404</v>
      </c>
      <c r="H9" s="23">
        <v>8736.3372002177603</v>
      </c>
      <c r="I9" s="23">
        <f t="shared" si="0"/>
        <v>10080</v>
      </c>
      <c r="J9" s="23">
        <f t="shared" si="1"/>
        <v>8280</v>
      </c>
      <c r="K9" s="23">
        <f t="shared" si="2"/>
        <v>18180</v>
      </c>
      <c r="L9" s="23">
        <f t="shared" si="3"/>
        <v>7476</v>
      </c>
      <c r="M9" s="23">
        <f t="shared" si="4"/>
        <v>7668</v>
      </c>
      <c r="Q9" s="43" t="s">
        <v>72</v>
      </c>
      <c r="R9">
        <v>3072</v>
      </c>
      <c r="T9" s="43" t="s">
        <v>68</v>
      </c>
      <c r="U9">
        <v>28224</v>
      </c>
      <c r="W9" s="43" t="s">
        <v>68</v>
      </c>
      <c r="X9">
        <v>39482</v>
      </c>
      <c r="Z9" s="43" t="s">
        <v>72</v>
      </c>
      <c r="AA9">
        <v>6880</v>
      </c>
      <c r="AC9" s="43" t="s">
        <v>72</v>
      </c>
      <c r="AD9">
        <v>6352</v>
      </c>
    </row>
    <row r="10" spans="1:30" x14ac:dyDescent="0.35">
      <c r="A10" s="5" t="s">
        <v>23</v>
      </c>
      <c r="B10" s="6" t="s">
        <v>24</v>
      </c>
      <c r="C10" s="23">
        <v>794.46740657772955</v>
      </c>
      <c r="D10" s="23">
        <v>794.46740657772955</v>
      </c>
      <c r="E10" s="23">
        <v>1861.3007073558422</v>
      </c>
      <c r="F10" s="23">
        <v>2108.8226286984009</v>
      </c>
      <c r="G10" s="23">
        <v>3019.5464618488309</v>
      </c>
      <c r="H10" s="23">
        <v>2496.7106055697418</v>
      </c>
      <c r="I10" s="23">
        <f t="shared" si="0"/>
        <v>1536</v>
      </c>
      <c r="J10" s="23">
        <f t="shared" si="1"/>
        <v>2280</v>
      </c>
      <c r="K10" s="23">
        <f t="shared" si="2"/>
        <v>4038</v>
      </c>
      <c r="L10" s="23">
        <f t="shared" si="3"/>
        <v>2688</v>
      </c>
      <c r="M10" s="23">
        <f t="shared" si="4"/>
        <v>816</v>
      </c>
      <c r="Q10" s="43" t="s">
        <v>53</v>
      </c>
      <c r="R10">
        <v>2128</v>
      </c>
      <c r="T10" s="43" t="s">
        <v>72</v>
      </c>
      <c r="U10">
        <v>1856</v>
      </c>
      <c r="W10" s="43" t="s">
        <v>72</v>
      </c>
      <c r="X10">
        <v>5088</v>
      </c>
      <c r="Z10" s="43" t="s">
        <v>53</v>
      </c>
      <c r="AA10">
        <v>7224</v>
      </c>
      <c r="AC10" s="43" t="s">
        <v>53</v>
      </c>
      <c r="AD10">
        <v>7840</v>
      </c>
    </row>
    <row r="11" spans="1:30" x14ac:dyDescent="0.35">
      <c r="A11" s="7" t="s">
        <v>25</v>
      </c>
      <c r="B11" s="8" t="s">
        <v>26</v>
      </c>
      <c r="C11" s="23">
        <v>72.338784325825372</v>
      </c>
      <c r="D11" s="23">
        <v>72.338784325825372</v>
      </c>
      <c r="E11" s="23">
        <v>1477.2985379726108</v>
      </c>
      <c r="F11" s="23">
        <v>1571.8891277676785</v>
      </c>
      <c r="G11" s="23">
        <v>901.86142709410547</v>
      </c>
      <c r="H11" s="23">
        <v>1226.8647477561135</v>
      </c>
      <c r="I11" s="23">
        <f t="shared" si="0"/>
        <v>1980</v>
      </c>
      <c r="J11" s="23">
        <f t="shared" si="1"/>
        <v>3780</v>
      </c>
      <c r="K11" s="23">
        <f t="shared" si="2"/>
        <v>6984</v>
      </c>
      <c r="L11" s="23">
        <f t="shared" si="3"/>
        <v>10171</v>
      </c>
      <c r="M11" s="23">
        <f t="shared" si="4"/>
        <v>7380</v>
      </c>
      <c r="Q11" s="43" t="s">
        <v>51</v>
      </c>
      <c r="R11">
        <v>23040</v>
      </c>
      <c r="T11" s="43" t="s">
        <v>53</v>
      </c>
      <c r="U11">
        <v>1736</v>
      </c>
      <c r="W11" s="43" t="s">
        <v>53</v>
      </c>
      <c r="X11">
        <v>2856</v>
      </c>
      <c r="Z11" s="43" t="s">
        <v>51</v>
      </c>
      <c r="AA11">
        <v>69504</v>
      </c>
      <c r="AC11" s="43" t="s">
        <v>51</v>
      </c>
      <c r="AD11">
        <v>74448</v>
      </c>
    </row>
    <row r="12" spans="1:30" x14ac:dyDescent="0.35">
      <c r="A12" s="10" t="s">
        <v>27</v>
      </c>
      <c r="B12" s="6" t="s">
        <v>28</v>
      </c>
      <c r="C12" s="23">
        <v>3644.7708669043395</v>
      </c>
      <c r="D12" s="23">
        <v>3644.7708669043395</v>
      </c>
      <c r="E12" s="23">
        <v>10488.172885118342</v>
      </c>
      <c r="F12" s="23">
        <v>10454.246410173682</v>
      </c>
      <c r="G12" s="23">
        <v>12853.862534278986</v>
      </c>
      <c r="H12" s="23">
        <v>12234.330873996305</v>
      </c>
      <c r="I12" s="23">
        <f t="shared" si="0"/>
        <v>7480</v>
      </c>
      <c r="J12" s="23">
        <f t="shared" si="1"/>
        <v>7200</v>
      </c>
      <c r="K12" s="23">
        <f t="shared" si="2"/>
        <v>16796</v>
      </c>
      <c r="L12" s="23">
        <f t="shared" si="3"/>
        <v>26540</v>
      </c>
      <c r="M12" s="23">
        <f t="shared" si="4"/>
        <v>19400</v>
      </c>
      <c r="Q12" s="43" t="s">
        <v>55</v>
      </c>
      <c r="R12">
        <v>6642</v>
      </c>
      <c r="T12" s="43" t="s">
        <v>51</v>
      </c>
      <c r="U12">
        <v>28224</v>
      </c>
      <c r="W12" s="43" t="s">
        <v>51</v>
      </c>
      <c r="X12">
        <v>47644</v>
      </c>
      <c r="Z12" s="43" t="s">
        <v>55</v>
      </c>
      <c r="AA12">
        <v>3565</v>
      </c>
      <c r="AC12" s="43" t="s">
        <v>55</v>
      </c>
      <c r="AD12">
        <v>2916</v>
      </c>
    </row>
    <row r="13" spans="1:30" x14ac:dyDescent="0.35">
      <c r="A13" s="10" t="s">
        <v>29</v>
      </c>
      <c r="B13" s="6" t="s">
        <v>30</v>
      </c>
      <c r="C13" s="23" t="s">
        <v>149</v>
      </c>
      <c r="D13" s="23" t="s">
        <v>149</v>
      </c>
      <c r="E13" s="23">
        <v>741.22807017543846</v>
      </c>
      <c r="F13" s="23">
        <v>977.14757709251103</v>
      </c>
      <c r="G13" s="23">
        <v>957.39932553065182</v>
      </c>
      <c r="H13" s="23">
        <v>1185.9117539362865</v>
      </c>
      <c r="I13" s="23">
        <f t="shared" si="0"/>
        <v>20</v>
      </c>
      <c r="J13" s="23">
        <f t="shared" si="1"/>
        <v>920</v>
      </c>
      <c r="K13" s="23">
        <f t="shared" si="2"/>
        <v>2880</v>
      </c>
      <c r="L13" s="23">
        <f t="shared" si="3"/>
        <v>3940</v>
      </c>
      <c r="M13" s="23">
        <f t="shared" si="4"/>
        <v>1120</v>
      </c>
      <c r="Q13" s="43" t="s">
        <v>61</v>
      </c>
      <c r="R13">
        <v>9756</v>
      </c>
      <c r="T13" s="43" t="s">
        <v>55</v>
      </c>
      <c r="U13">
        <v>5778</v>
      </c>
      <c r="W13" s="43" t="s">
        <v>55</v>
      </c>
      <c r="X13">
        <v>5886</v>
      </c>
      <c r="Z13" s="43" t="s">
        <v>61</v>
      </c>
      <c r="AA13">
        <v>37920</v>
      </c>
      <c r="AC13" s="43" t="s">
        <v>61</v>
      </c>
      <c r="AD13">
        <v>42204</v>
      </c>
    </row>
    <row r="14" spans="1:30" x14ac:dyDescent="0.35">
      <c r="A14" s="10" t="s">
        <v>31</v>
      </c>
      <c r="B14" s="6" t="s">
        <v>32</v>
      </c>
      <c r="C14" s="23" t="s">
        <v>149</v>
      </c>
      <c r="D14" s="23" t="s">
        <v>149</v>
      </c>
      <c r="E14" s="23">
        <v>358.97435897435901</v>
      </c>
      <c r="F14" s="23">
        <v>1090.4884318766067</v>
      </c>
      <c r="G14" s="23">
        <v>1257.9267503558972</v>
      </c>
      <c r="H14" s="23">
        <v>1175.2168843995964</v>
      </c>
      <c r="I14" s="23">
        <f t="shared" si="0"/>
        <v>20</v>
      </c>
      <c r="J14" s="23">
        <f t="shared" si="1"/>
        <v>994</v>
      </c>
      <c r="K14" s="23">
        <f t="shared" si="2"/>
        <v>3651</v>
      </c>
      <c r="L14" s="23">
        <f t="shared" si="3"/>
        <v>4260</v>
      </c>
      <c r="M14" s="23">
        <f t="shared" si="4"/>
        <v>1040</v>
      </c>
      <c r="Q14" s="43" t="s">
        <v>57</v>
      </c>
      <c r="R14">
        <v>2430</v>
      </c>
      <c r="T14" s="43" t="s">
        <v>61</v>
      </c>
      <c r="U14">
        <v>10584</v>
      </c>
      <c r="W14" s="43" t="s">
        <v>61</v>
      </c>
      <c r="X14">
        <v>28908</v>
      </c>
      <c r="Z14" s="43" t="s">
        <v>57</v>
      </c>
      <c r="AA14">
        <v>3757</v>
      </c>
      <c r="AC14" s="43" t="s">
        <v>57</v>
      </c>
      <c r="AD14">
        <v>2304</v>
      </c>
    </row>
    <row r="15" spans="1:30" x14ac:dyDescent="0.35">
      <c r="A15" s="10" t="s">
        <v>33</v>
      </c>
      <c r="B15" s="8" t="s">
        <v>34</v>
      </c>
      <c r="C15" s="23">
        <v>391.77006536395783</v>
      </c>
      <c r="D15" s="23">
        <v>391.77006536395783</v>
      </c>
      <c r="E15" s="23">
        <v>2732.7808206245109</v>
      </c>
      <c r="F15" s="23">
        <v>2255.847987043036</v>
      </c>
      <c r="G15" s="23">
        <v>2881.5323337926475</v>
      </c>
      <c r="H15" s="23">
        <v>2011.8158257779623</v>
      </c>
      <c r="I15" s="23">
        <f t="shared" si="0"/>
        <v>1140</v>
      </c>
      <c r="J15" s="23">
        <f t="shared" si="1"/>
        <v>1860</v>
      </c>
      <c r="K15" s="23">
        <f t="shared" si="2"/>
        <v>5640</v>
      </c>
      <c r="L15" s="23">
        <f t="shared" si="3"/>
        <v>8701</v>
      </c>
      <c r="M15" s="23">
        <f t="shared" si="4"/>
        <v>2940</v>
      </c>
      <c r="Q15" s="43" t="s">
        <v>112</v>
      </c>
      <c r="R15">
        <v>1260</v>
      </c>
      <c r="T15" s="43" t="s">
        <v>57</v>
      </c>
      <c r="U15">
        <v>1890</v>
      </c>
      <c r="W15" s="43" t="s">
        <v>57</v>
      </c>
      <c r="X15">
        <v>5214</v>
      </c>
      <c r="Z15" s="43" t="s">
        <v>168</v>
      </c>
      <c r="AC15" s="43" t="s">
        <v>168</v>
      </c>
      <c r="AD15">
        <v>1920</v>
      </c>
    </row>
    <row r="16" spans="1:30" x14ac:dyDescent="0.35">
      <c r="A16" s="10" t="s">
        <v>35</v>
      </c>
      <c r="B16" s="8" t="s">
        <v>36</v>
      </c>
      <c r="C16" s="23">
        <v>320.92514850831856</v>
      </c>
      <c r="D16" s="23">
        <v>320.92514850831856</v>
      </c>
      <c r="E16" s="23">
        <v>2259.2872496000477</v>
      </c>
      <c r="F16" s="23">
        <v>1947.73111428943</v>
      </c>
      <c r="G16" s="23">
        <v>1752.6656539703217</v>
      </c>
      <c r="H16" s="23">
        <v>1167.2641926379051</v>
      </c>
      <c r="I16" s="23">
        <f t="shared" si="0"/>
        <v>780</v>
      </c>
      <c r="J16" s="23">
        <f t="shared" si="1"/>
        <v>1620</v>
      </c>
      <c r="K16" s="23">
        <f t="shared" si="2"/>
        <v>5344</v>
      </c>
      <c r="L16" s="23">
        <f t="shared" si="3"/>
        <v>5580</v>
      </c>
      <c r="M16" s="23">
        <f t="shared" si="4"/>
        <v>2640</v>
      </c>
      <c r="Q16" s="43" t="s">
        <v>63</v>
      </c>
      <c r="R16">
        <v>2016</v>
      </c>
      <c r="T16" s="43" t="s">
        <v>112</v>
      </c>
      <c r="U16">
        <v>720</v>
      </c>
      <c r="W16" s="43" t="s">
        <v>112</v>
      </c>
      <c r="X16">
        <v>811</v>
      </c>
      <c r="Z16" s="43" t="s">
        <v>112</v>
      </c>
      <c r="AA16">
        <v>1358</v>
      </c>
      <c r="AC16" s="43" t="s">
        <v>112</v>
      </c>
      <c r="AD16">
        <v>790</v>
      </c>
    </row>
    <row r="17" spans="1:30" x14ac:dyDescent="0.35">
      <c r="A17" s="10" t="s">
        <v>37</v>
      </c>
      <c r="B17" s="6" t="s">
        <v>38</v>
      </c>
      <c r="C17" s="23">
        <v>2141.0187397279451</v>
      </c>
      <c r="D17" s="23">
        <v>2141.0187397279451</v>
      </c>
      <c r="E17" s="23">
        <v>5252.1388037742909</v>
      </c>
      <c r="F17" s="23">
        <v>5246.7009227776625</v>
      </c>
      <c r="G17" s="23">
        <v>5168.3590064910268</v>
      </c>
      <c r="H17" s="23">
        <v>7917.3886600191936</v>
      </c>
      <c r="I17" s="23">
        <f t="shared" si="0"/>
        <v>4672</v>
      </c>
      <c r="J17" s="23">
        <f t="shared" si="1"/>
        <v>4796</v>
      </c>
      <c r="K17" s="23">
        <f t="shared" si="2"/>
        <v>8896</v>
      </c>
      <c r="L17" s="23">
        <f t="shared" si="3"/>
        <v>11841</v>
      </c>
      <c r="M17" s="23">
        <f t="shared" si="4"/>
        <v>8192</v>
      </c>
      <c r="Q17" s="43" t="s">
        <v>65</v>
      </c>
      <c r="R17">
        <v>768</v>
      </c>
      <c r="T17" s="43" t="s">
        <v>63</v>
      </c>
      <c r="U17">
        <v>754</v>
      </c>
      <c r="W17" s="43" t="s">
        <v>63</v>
      </c>
      <c r="X17">
        <v>1930</v>
      </c>
      <c r="Z17" s="43" t="s">
        <v>63</v>
      </c>
      <c r="AA17">
        <v>2526</v>
      </c>
      <c r="AC17" s="43" t="s">
        <v>63</v>
      </c>
      <c r="AD17">
        <v>4434</v>
      </c>
    </row>
    <row r="18" spans="1:30" x14ac:dyDescent="0.35">
      <c r="A18" s="5" t="s">
        <v>39</v>
      </c>
      <c r="B18" s="6" t="s">
        <v>40</v>
      </c>
      <c r="C18" s="23">
        <v>146.18363570208379</v>
      </c>
      <c r="D18" s="23">
        <v>146.18363570208379</v>
      </c>
      <c r="E18" s="23">
        <v>424.57847592702365</v>
      </c>
      <c r="F18" s="23">
        <v>544.09672830725469</v>
      </c>
      <c r="G18" s="23">
        <v>584.35861356000396</v>
      </c>
      <c r="H18" s="23">
        <v>449.74785992217898</v>
      </c>
      <c r="I18" s="23">
        <f t="shared" si="0"/>
        <v>400</v>
      </c>
      <c r="J18" s="23">
        <f t="shared" si="1"/>
        <v>260</v>
      </c>
      <c r="K18" s="23">
        <f t="shared" si="2"/>
        <v>1020</v>
      </c>
      <c r="L18" s="23">
        <f t="shared" si="3"/>
        <v>1100</v>
      </c>
      <c r="M18" s="23">
        <f t="shared" si="4"/>
        <v>340</v>
      </c>
      <c r="Q18" s="43" t="s">
        <v>45</v>
      </c>
      <c r="R18">
        <v>17184</v>
      </c>
      <c r="T18" s="43" t="s">
        <v>65</v>
      </c>
      <c r="U18">
        <v>96</v>
      </c>
      <c r="W18" s="43" t="s">
        <v>65</v>
      </c>
      <c r="X18">
        <v>216</v>
      </c>
      <c r="Z18" s="43" t="s">
        <v>141</v>
      </c>
      <c r="AA18">
        <v>384</v>
      </c>
      <c r="AC18" s="43" t="s">
        <v>65</v>
      </c>
      <c r="AD18">
        <v>120</v>
      </c>
    </row>
    <row r="19" spans="1:30" x14ac:dyDescent="0.35">
      <c r="A19" s="7" t="s">
        <v>41</v>
      </c>
      <c r="B19" s="8" t="s">
        <v>42</v>
      </c>
      <c r="C19" s="23">
        <v>385.83870059495837</v>
      </c>
      <c r="D19" s="23">
        <v>385.83870059495837</v>
      </c>
      <c r="E19" s="23">
        <v>1338.346408370594</v>
      </c>
      <c r="F19" s="23">
        <v>1477.0428131396043</v>
      </c>
      <c r="G19" s="23">
        <v>1747.5281070118078</v>
      </c>
      <c r="H19" s="23">
        <v>2356.3491500369551</v>
      </c>
      <c r="I19" s="23">
        <f t="shared" si="0"/>
        <v>1664</v>
      </c>
      <c r="J19" s="23">
        <f t="shared" si="1"/>
        <v>576</v>
      </c>
      <c r="K19" s="23">
        <f t="shared" si="2"/>
        <v>1952</v>
      </c>
      <c r="L19" s="23">
        <f t="shared" si="3"/>
        <v>3744</v>
      </c>
      <c r="M19" s="23">
        <f t="shared" si="4"/>
        <v>3168</v>
      </c>
      <c r="Q19" s="43" t="s">
        <v>49</v>
      </c>
      <c r="R19">
        <v>10080</v>
      </c>
      <c r="T19" s="43" t="s">
        <v>45</v>
      </c>
      <c r="U19">
        <v>16128</v>
      </c>
      <c r="W19" s="43" t="s">
        <v>157</v>
      </c>
      <c r="X19">
        <v>40</v>
      </c>
      <c r="Z19" s="43" t="s">
        <v>65</v>
      </c>
      <c r="AA19">
        <v>384</v>
      </c>
      <c r="AC19" s="43" t="s">
        <v>45</v>
      </c>
      <c r="AD19">
        <v>40992</v>
      </c>
    </row>
    <row r="20" spans="1:30" x14ac:dyDescent="0.35">
      <c r="A20" s="3" t="s">
        <v>43</v>
      </c>
      <c r="B20" s="4"/>
      <c r="C20" s="4"/>
      <c r="D20" s="4"/>
      <c r="E20" s="4"/>
      <c r="F20" s="4"/>
      <c r="G20" s="4"/>
      <c r="H20" s="24"/>
      <c r="I20" s="24"/>
      <c r="J20" s="24"/>
      <c r="K20" s="24"/>
      <c r="L20" s="24"/>
      <c r="M20" s="24"/>
      <c r="Q20" s="43" t="s">
        <v>47</v>
      </c>
      <c r="R20">
        <v>300</v>
      </c>
      <c r="T20" s="43" t="s">
        <v>49</v>
      </c>
      <c r="U20">
        <v>14688</v>
      </c>
      <c r="W20" s="43" t="s">
        <v>45</v>
      </c>
      <c r="X20">
        <v>27472</v>
      </c>
      <c r="Z20" s="43" t="s">
        <v>45</v>
      </c>
      <c r="AA20">
        <v>39360</v>
      </c>
      <c r="AC20" s="43" t="s">
        <v>49</v>
      </c>
      <c r="AD20">
        <v>21984</v>
      </c>
    </row>
    <row r="21" spans="1:30" x14ac:dyDescent="0.35">
      <c r="A21" s="5" t="s">
        <v>44</v>
      </c>
      <c r="B21" s="6" t="s">
        <v>45</v>
      </c>
      <c r="C21" s="23">
        <v>9944.1175384693488</v>
      </c>
      <c r="D21" s="23">
        <v>9944.1175384693488</v>
      </c>
      <c r="E21" s="23">
        <v>12575.868589368729</v>
      </c>
      <c r="F21" s="23">
        <v>12045.351312485824</v>
      </c>
      <c r="G21" s="23">
        <v>12334.977100765838</v>
      </c>
      <c r="H21" s="23">
        <v>12443.818582015861</v>
      </c>
      <c r="I21" s="23">
        <f t="shared" si="0"/>
        <v>17184</v>
      </c>
      <c r="J21" s="23">
        <f t="shared" si="1"/>
        <v>16128</v>
      </c>
      <c r="K21" s="23">
        <f t="shared" si="2"/>
        <v>27472</v>
      </c>
      <c r="L21" s="23">
        <f t="shared" si="3"/>
        <v>39360</v>
      </c>
      <c r="M21" s="23">
        <f t="shared" si="4"/>
        <v>40992</v>
      </c>
      <c r="Q21" s="43" t="s">
        <v>59</v>
      </c>
      <c r="R21">
        <v>3216</v>
      </c>
      <c r="T21" s="43" t="s">
        <v>47</v>
      </c>
      <c r="U21">
        <v>226</v>
      </c>
      <c r="W21" s="43" t="s">
        <v>49</v>
      </c>
      <c r="X21">
        <v>29424</v>
      </c>
      <c r="Z21" s="43" t="s">
        <v>49</v>
      </c>
      <c r="AA21">
        <v>27344</v>
      </c>
      <c r="AC21" s="43" t="s">
        <v>47</v>
      </c>
      <c r="AD21">
        <v>180</v>
      </c>
    </row>
    <row r="22" spans="1:30" x14ac:dyDescent="0.35">
      <c r="A22" s="5" t="s">
        <v>46</v>
      </c>
      <c r="B22" s="6" t="s">
        <v>47</v>
      </c>
      <c r="C22" s="23">
        <v>150</v>
      </c>
      <c r="D22" s="23">
        <v>150</v>
      </c>
      <c r="E22" s="23">
        <v>436.54822335025386</v>
      </c>
      <c r="F22" s="23">
        <v>485.35564853556451</v>
      </c>
      <c r="G22" s="23">
        <v>560</v>
      </c>
      <c r="H22" s="23">
        <v>596.73024523160677</v>
      </c>
      <c r="I22" s="23">
        <f t="shared" si="0"/>
        <v>300</v>
      </c>
      <c r="J22" s="23">
        <f t="shared" si="1"/>
        <v>226</v>
      </c>
      <c r="K22" s="23">
        <f t="shared" si="2"/>
        <v>502</v>
      </c>
      <c r="L22" s="23">
        <f t="shared" si="3"/>
        <v>1249</v>
      </c>
      <c r="M22" s="23">
        <f t="shared" si="4"/>
        <v>180</v>
      </c>
      <c r="Q22" s="43" t="s">
        <v>76</v>
      </c>
      <c r="R22">
        <v>730</v>
      </c>
      <c r="T22" s="43" t="s">
        <v>59</v>
      </c>
      <c r="U22">
        <v>1512</v>
      </c>
      <c r="W22" s="43" t="s">
        <v>47</v>
      </c>
      <c r="X22">
        <v>502</v>
      </c>
      <c r="Z22" s="43" t="s">
        <v>47</v>
      </c>
      <c r="AA22">
        <v>1249</v>
      </c>
      <c r="AC22" s="43" t="s">
        <v>59</v>
      </c>
      <c r="AD22">
        <v>9120</v>
      </c>
    </row>
    <row r="23" spans="1:30" x14ac:dyDescent="0.35">
      <c r="A23" s="10" t="s">
        <v>48</v>
      </c>
      <c r="B23" s="6" t="s">
        <v>49</v>
      </c>
      <c r="C23" s="23">
        <v>4456.364474593307</v>
      </c>
      <c r="D23" s="23">
        <v>4456.364474593307</v>
      </c>
      <c r="E23" s="23">
        <v>8015.7533436315816</v>
      </c>
      <c r="F23" s="23">
        <v>8664.6678187889247</v>
      </c>
      <c r="G23" s="23">
        <v>8469.345716490534</v>
      </c>
      <c r="H23" s="23">
        <v>9663.2901888554679</v>
      </c>
      <c r="I23" s="23">
        <f t="shared" si="0"/>
        <v>10080</v>
      </c>
      <c r="J23" s="23">
        <f t="shared" si="1"/>
        <v>14688</v>
      </c>
      <c r="K23" s="23">
        <f t="shared" si="2"/>
        <v>29424</v>
      </c>
      <c r="L23" s="23">
        <f t="shared" si="3"/>
        <v>27344</v>
      </c>
      <c r="M23" s="23">
        <f t="shared" si="4"/>
        <v>21984</v>
      </c>
      <c r="Q23" s="43" t="s">
        <v>78</v>
      </c>
      <c r="R23">
        <v>120</v>
      </c>
      <c r="T23" s="43" t="s">
        <v>76</v>
      </c>
      <c r="U23">
        <v>2920</v>
      </c>
      <c r="W23" s="43" t="s">
        <v>59</v>
      </c>
      <c r="X23">
        <v>6960</v>
      </c>
      <c r="Z23" s="43" t="s">
        <v>59</v>
      </c>
      <c r="AA23">
        <v>7632</v>
      </c>
      <c r="AC23" s="43" t="s">
        <v>76</v>
      </c>
      <c r="AD23">
        <v>5310</v>
      </c>
    </row>
    <row r="24" spans="1:30" x14ac:dyDescent="0.35">
      <c r="A24" s="5" t="s">
        <v>50</v>
      </c>
      <c r="B24" s="6" t="s">
        <v>51</v>
      </c>
      <c r="C24" s="23">
        <v>9973.2431704560458</v>
      </c>
      <c r="D24" s="23">
        <v>9973.2431704560458</v>
      </c>
      <c r="E24" s="23">
        <v>34174.049090543296</v>
      </c>
      <c r="F24" s="23">
        <v>34211.224849162034</v>
      </c>
      <c r="G24" s="23">
        <v>49270.83246719055</v>
      </c>
      <c r="H24" s="23">
        <v>48920.141045456563</v>
      </c>
      <c r="I24" s="23">
        <f t="shared" si="0"/>
        <v>23040</v>
      </c>
      <c r="J24" s="23">
        <f t="shared" si="1"/>
        <v>28224</v>
      </c>
      <c r="K24" s="23">
        <f t="shared" si="2"/>
        <v>47644</v>
      </c>
      <c r="L24" s="23">
        <f t="shared" si="3"/>
        <v>69504</v>
      </c>
      <c r="M24" s="23">
        <f t="shared" si="4"/>
        <v>74448</v>
      </c>
      <c r="Q24" s="43" t="s">
        <v>82</v>
      </c>
      <c r="R24">
        <v>650</v>
      </c>
      <c r="T24" s="43" t="s">
        <v>78</v>
      </c>
      <c r="U24">
        <v>90</v>
      </c>
      <c r="W24" s="43" t="s">
        <v>76</v>
      </c>
      <c r="X24">
        <v>2700</v>
      </c>
      <c r="Z24" s="43" t="s">
        <v>76</v>
      </c>
      <c r="AA24">
        <v>4490</v>
      </c>
      <c r="AC24" s="43" t="s">
        <v>82</v>
      </c>
      <c r="AD24">
        <v>4220</v>
      </c>
    </row>
    <row r="25" spans="1:30" x14ac:dyDescent="0.35">
      <c r="A25" s="5" t="s">
        <v>52</v>
      </c>
      <c r="B25" s="6" t="s">
        <v>53</v>
      </c>
      <c r="C25" s="23">
        <v>848.8382321111535</v>
      </c>
      <c r="D25" s="23">
        <v>848.8382321111535</v>
      </c>
      <c r="E25" s="23">
        <v>2015.2565410670666</v>
      </c>
      <c r="F25" s="23">
        <v>2158.268249894013</v>
      </c>
      <c r="G25" s="23">
        <v>1935.1876898032281</v>
      </c>
      <c r="H25" s="23">
        <v>2001.1025745395332</v>
      </c>
      <c r="I25" s="23">
        <f t="shared" si="0"/>
        <v>2128</v>
      </c>
      <c r="J25" s="23">
        <f t="shared" si="1"/>
        <v>1736</v>
      </c>
      <c r="K25" s="23">
        <f t="shared" si="2"/>
        <v>2856</v>
      </c>
      <c r="L25" s="23">
        <f t="shared" si="3"/>
        <v>7224</v>
      </c>
      <c r="M25" s="23">
        <f t="shared" si="4"/>
        <v>7840</v>
      </c>
      <c r="Q25" s="43" t="s">
        <v>74</v>
      </c>
      <c r="R25">
        <v>840</v>
      </c>
      <c r="T25" s="43" t="s">
        <v>82</v>
      </c>
      <c r="U25">
        <v>1360</v>
      </c>
      <c r="W25" s="43" t="s">
        <v>78</v>
      </c>
      <c r="X25">
        <v>60</v>
      </c>
      <c r="Z25" s="43" t="s">
        <v>78</v>
      </c>
      <c r="AA25">
        <v>60</v>
      </c>
      <c r="AC25" s="43" t="s">
        <v>74</v>
      </c>
      <c r="AD25">
        <v>2330</v>
      </c>
    </row>
    <row r="26" spans="1:30" x14ac:dyDescent="0.35">
      <c r="A26" s="10" t="s">
        <v>54</v>
      </c>
      <c r="B26" s="6" t="s">
        <v>55</v>
      </c>
      <c r="C26" s="23">
        <v>3646.7740716019107</v>
      </c>
      <c r="D26" s="23">
        <v>3646.7740716019107</v>
      </c>
      <c r="E26" s="23">
        <v>5838.2938214073392</v>
      </c>
      <c r="F26" s="23">
        <v>5662.3202790075829</v>
      </c>
      <c r="G26" s="23">
        <v>3804.9325848531871</v>
      </c>
      <c r="H26" s="23">
        <v>3606.7333770688192</v>
      </c>
      <c r="I26" s="23">
        <f t="shared" si="0"/>
        <v>6642</v>
      </c>
      <c r="J26" s="23">
        <f t="shared" si="1"/>
        <v>5778</v>
      </c>
      <c r="K26" s="23">
        <f t="shared" si="2"/>
        <v>5886</v>
      </c>
      <c r="L26" s="23">
        <f t="shared" si="3"/>
        <v>3565</v>
      </c>
      <c r="M26" s="23">
        <f t="shared" si="4"/>
        <v>2916</v>
      </c>
      <c r="Q26" s="43" t="s">
        <v>84</v>
      </c>
      <c r="R26">
        <v>560</v>
      </c>
      <c r="T26" s="43" t="s">
        <v>74</v>
      </c>
      <c r="U26">
        <v>610</v>
      </c>
      <c r="W26" s="43" t="s">
        <v>82</v>
      </c>
      <c r="X26">
        <v>2690</v>
      </c>
      <c r="Z26" s="43" t="s">
        <v>82</v>
      </c>
      <c r="AA26">
        <v>2671</v>
      </c>
      <c r="AC26" s="43" t="s">
        <v>84</v>
      </c>
      <c r="AD26">
        <v>120</v>
      </c>
    </row>
    <row r="27" spans="1:30" x14ac:dyDescent="0.35">
      <c r="A27" s="10" t="s">
        <v>56</v>
      </c>
      <c r="B27" s="11" t="s">
        <v>57</v>
      </c>
      <c r="C27" s="23">
        <v>1144.6356091627672</v>
      </c>
      <c r="D27" s="23">
        <v>1144.6356091627672</v>
      </c>
      <c r="E27" s="23">
        <v>2830.2522420527571</v>
      </c>
      <c r="F27" s="23">
        <v>2686.2945363834015</v>
      </c>
      <c r="G27" s="23">
        <v>2718.0551889767389</v>
      </c>
      <c r="H27" s="23">
        <v>2919.3750485144542</v>
      </c>
      <c r="I27" s="23">
        <f t="shared" si="0"/>
        <v>2430</v>
      </c>
      <c r="J27" s="23">
        <f t="shared" si="1"/>
        <v>1890</v>
      </c>
      <c r="K27" s="23">
        <f t="shared" si="2"/>
        <v>5214</v>
      </c>
      <c r="L27" s="23">
        <f t="shared" si="3"/>
        <v>3757</v>
      </c>
      <c r="M27" s="23">
        <f t="shared" si="4"/>
        <v>2304</v>
      </c>
      <c r="Q27" s="43" t="s">
        <v>86</v>
      </c>
      <c r="R27">
        <v>60</v>
      </c>
      <c r="T27" s="43" t="s">
        <v>84</v>
      </c>
      <c r="U27">
        <v>430</v>
      </c>
      <c r="W27" s="43" t="s">
        <v>74</v>
      </c>
      <c r="X27">
        <v>3940</v>
      </c>
      <c r="Z27" s="43" t="s">
        <v>74</v>
      </c>
      <c r="AA27">
        <v>2880</v>
      </c>
      <c r="AC27" s="43" t="s">
        <v>88</v>
      </c>
      <c r="AD27">
        <v>10</v>
      </c>
    </row>
    <row r="28" spans="1:30" x14ac:dyDescent="0.35">
      <c r="A28" s="10" t="s">
        <v>58</v>
      </c>
      <c r="B28" s="11" t="s">
        <v>59</v>
      </c>
      <c r="C28" s="23">
        <v>1380.6883961055767</v>
      </c>
      <c r="D28" s="23">
        <v>1380.6883961055767</v>
      </c>
      <c r="E28" s="23">
        <v>2495.8193589559351</v>
      </c>
      <c r="F28" s="23">
        <v>2727.0877011564171</v>
      </c>
      <c r="G28" s="23">
        <v>2950.6053064495727</v>
      </c>
      <c r="H28" s="23">
        <v>3252.5360330452263</v>
      </c>
      <c r="I28" s="23">
        <f t="shared" si="0"/>
        <v>3216</v>
      </c>
      <c r="J28" s="23">
        <f t="shared" si="1"/>
        <v>1512</v>
      </c>
      <c r="K28" s="23">
        <f t="shared" si="2"/>
        <v>6960</v>
      </c>
      <c r="L28" s="23">
        <f t="shared" si="3"/>
        <v>7632</v>
      </c>
      <c r="M28" s="23">
        <f t="shared" si="4"/>
        <v>9120</v>
      </c>
      <c r="Q28" s="43" t="s">
        <v>88</v>
      </c>
      <c r="R28">
        <v>310</v>
      </c>
      <c r="T28" s="43" t="s">
        <v>86</v>
      </c>
      <c r="U28">
        <v>60</v>
      </c>
      <c r="W28" s="43" t="s">
        <v>84</v>
      </c>
      <c r="X28">
        <v>80</v>
      </c>
      <c r="Z28" s="43" t="s">
        <v>84</v>
      </c>
      <c r="AA28">
        <v>610</v>
      </c>
      <c r="AC28" s="43" t="s">
        <v>91</v>
      </c>
      <c r="AD28">
        <v>3000</v>
      </c>
    </row>
    <row r="29" spans="1:30" x14ac:dyDescent="0.35">
      <c r="A29" s="10" t="s">
        <v>60</v>
      </c>
      <c r="B29" s="11" t="s">
        <v>61</v>
      </c>
      <c r="C29" s="23">
        <v>5411.2845765698785</v>
      </c>
      <c r="D29" s="23">
        <v>5411.2845765698785</v>
      </c>
      <c r="E29" s="23">
        <v>18966.975585031058</v>
      </c>
      <c r="F29" s="23">
        <v>19592.710430896481</v>
      </c>
      <c r="G29" s="23">
        <v>18882.56476134406</v>
      </c>
      <c r="H29" s="23">
        <v>18499.435745277511</v>
      </c>
      <c r="I29" s="23">
        <f t="shared" si="0"/>
        <v>9756</v>
      </c>
      <c r="J29" s="23">
        <f t="shared" si="1"/>
        <v>10584</v>
      </c>
      <c r="K29" s="23">
        <f t="shared" si="2"/>
        <v>28908</v>
      </c>
      <c r="L29" s="23">
        <f t="shared" si="3"/>
        <v>37920</v>
      </c>
      <c r="M29" s="23">
        <f t="shared" si="4"/>
        <v>42204</v>
      </c>
      <c r="Q29" s="43" t="s">
        <v>91</v>
      </c>
      <c r="R29">
        <v>2544</v>
      </c>
      <c r="T29" s="43" t="s">
        <v>88</v>
      </c>
      <c r="U29">
        <v>10</v>
      </c>
      <c r="W29" s="43" t="s">
        <v>88</v>
      </c>
      <c r="X29">
        <v>30</v>
      </c>
      <c r="Z29" s="43" t="s">
        <v>88</v>
      </c>
      <c r="AA29">
        <v>310</v>
      </c>
      <c r="AC29" s="43" t="s">
        <v>97</v>
      </c>
      <c r="AD29">
        <v>2016</v>
      </c>
    </row>
    <row r="30" spans="1:30" x14ac:dyDescent="0.35">
      <c r="A30" s="10" t="s">
        <v>62</v>
      </c>
      <c r="B30" s="6" t="s">
        <v>63</v>
      </c>
      <c r="C30" s="23">
        <v>799.12479405888303</v>
      </c>
      <c r="D30" s="23">
        <v>799.12479405888303</v>
      </c>
      <c r="E30" s="23">
        <v>1628.245683346445</v>
      </c>
      <c r="F30" s="23">
        <v>1549.2299264747667</v>
      </c>
      <c r="G30" s="23">
        <v>1757.0256783617644</v>
      </c>
      <c r="H30" s="23">
        <v>1182.8602528498425</v>
      </c>
      <c r="I30" s="23">
        <f t="shared" si="0"/>
        <v>2016</v>
      </c>
      <c r="J30" s="23">
        <f t="shared" si="1"/>
        <v>754</v>
      </c>
      <c r="K30" s="23">
        <f t="shared" si="2"/>
        <v>1930</v>
      </c>
      <c r="L30" s="23">
        <f t="shared" si="3"/>
        <v>2526</v>
      </c>
      <c r="M30" s="23">
        <f t="shared" si="4"/>
        <v>4434</v>
      </c>
      <c r="Q30" s="43" t="s">
        <v>97</v>
      </c>
      <c r="R30">
        <v>1488</v>
      </c>
      <c r="T30" s="43" t="s">
        <v>175</v>
      </c>
      <c r="U30">
        <v>24</v>
      </c>
      <c r="W30" s="43" t="s">
        <v>175</v>
      </c>
      <c r="X30">
        <v>12</v>
      </c>
      <c r="Z30" s="43" t="s">
        <v>175</v>
      </c>
      <c r="AA30">
        <v>60</v>
      </c>
      <c r="AC30" s="43" t="s">
        <v>93</v>
      </c>
      <c r="AD30">
        <v>3785</v>
      </c>
    </row>
    <row r="31" spans="1:30" x14ac:dyDescent="0.35">
      <c r="A31" s="12" t="s">
        <v>64</v>
      </c>
      <c r="B31" s="13" t="s">
        <v>65</v>
      </c>
      <c r="C31" s="23">
        <v>34.69014207269241</v>
      </c>
      <c r="D31" s="23">
        <v>34.69014207269241</v>
      </c>
      <c r="E31" s="23">
        <v>0</v>
      </c>
      <c r="F31" s="23">
        <v>0</v>
      </c>
      <c r="G31" s="23">
        <v>0</v>
      </c>
      <c r="H31" s="23">
        <v>0</v>
      </c>
      <c r="I31" s="23">
        <f t="shared" si="0"/>
        <v>768</v>
      </c>
      <c r="J31" s="23">
        <f t="shared" si="1"/>
        <v>96</v>
      </c>
      <c r="K31" s="23">
        <f t="shared" si="2"/>
        <v>216</v>
      </c>
      <c r="L31" s="23">
        <f t="shared" si="3"/>
        <v>384</v>
      </c>
      <c r="M31" s="23">
        <f t="shared" si="4"/>
        <v>120</v>
      </c>
      <c r="Q31" s="43" t="s">
        <v>93</v>
      </c>
      <c r="R31">
        <v>720</v>
      </c>
      <c r="T31" s="43" t="s">
        <v>91</v>
      </c>
      <c r="U31">
        <v>2136</v>
      </c>
      <c r="W31" s="43" t="s">
        <v>91</v>
      </c>
      <c r="X31">
        <v>4704</v>
      </c>
      <c r="Z31" s="43" t="s">
        <v>91</v>
      </c>
      <c r="AA31">
        <v>4897</v>
      </c>
      <c r="AC31" s="43" t="s">
        <v>99</v>
      </c>
      <c r="AD31">
        <v>2976</v>
      </c>
    </row>
    <row r="32" spans="1:30" x14ac:dyDescent="0.35">
      <c r="A32" s="3" t="s">
        <v>66</v>
      </c>
      <c r="B32" s="14"/>
      <c r="C32" s="14"/>
      <c r="D32" s="14"/>
      <c r="E32" s="14"/>
      <c r="F32" s="14"/>
      <c r="G32" s="14"/>
      <c r="H32" s="18"/>
      <c r="I32" s="18"/>
      <c r="J32" s="18"/>
      <c r="K32" s="18"/>
      <c r="L32" s="18"/>
      <c r="M32" s="18"/>
      <c r="Q32" s="43" t="s">
        <v>99</v>
      </c>
      <c r="R32">
        <v>384</v>
      </c>
      <c r="T32" s="43" t="s">
        <v>97</v>
      </c>
      <c r="U32">
        <v>708</v>
      </c>
      <c r="W32" s="43" t="s">
        <v>97</v>
      </c>
      <c r="X32">
        <v>1488</v>
      </c>
      <c r="Z32" s="43" t="s">
        <v>97</v>
      </c>
      <c r="AA32">
        <v>1825</v>
      </c>
      <c r="AC32" s="43" t="s">
        <v>95</v>
      </c>
      <c r="AD32">
        <v>432</v>
      </c>
    </row>
    <row r="33" spans="1:30" x14ac:dyDescent="0.35">
      <c r="A33" s="10" t="s">
        <v>67</v>
      </c>
      <c r="B33" s="6" t="s">
        <v>68</v>
      </c>
      <c r="C33" s="23">
        <v>11517.73032922247</v>
      </c>
      <c r="D33" s="23">
        <v>11517.73032922247</v>
      </c>
      <c r="E33" s="23">
        <v>22918.318293900174</v>
      </c>
      <c r="F33" s="23">
        <v>21395.988020621517</v>
      </c>
      <c r="G33" s="23">
        <v>26042.171981848005</v>
      </c>
      <c r="H33" s="23">
        <v>28619.17912127918</v>
      </c>
      <c r="I33" s="23">
        <f t="shared" si="0"/>
        <v>22656</v>
      </c>
      <c r="J33" s="23">
        <f t="shared" si="1"/>
        <v>28224</v>
      </c>
      <c r="K33" s="23">
        <f t="shared" si="2"/>
        <v>39482</v>
      </c>
      <c r="L33" s="23">
        <f t="shared" si="3"/>
        <v>37632</v>
      </c>
      <c r="M33" s="23">
        <f t="shared" si="4"/>
        <v>51936</v>
      </c>
      <c r="Q33" s="43" t="s">
        <v>95</v>
      </c>
      <c r="R33">
        <v>192</v>
      </c>
      <c r="T33" s="43" t="s">
        <v>176</v>
      </c>
      <c r="U33">
        <v>24</v>
      </c>
      <c r="W33" s="43" t="s">
        <v>176</v>
      </c>
      <c r="X33">
        <v>12</v>
      </c>
      <c r="Z33" s="43" t="s">
        <v>176</v>
      </c>
      <c r="AA33">
        <v>108</v>
      </c>
      <c r="AC33" s="43" t="s">
        <v>101</v>
      </c>
      <c r="AD33">
        <v>3120</v>
      </c>
    </row>
    <row r="34" spans="1:30" x14ac:dyDescent="0.35">
      <c r="A34" s="5" t="s">
        <v>69</v>
      </c>
      <c r="B34" s="6" t="s">
        <v>70</v>
      </c>
      <c r="C34" s="23">
        <v>2440.2714742450662</v>
      </c>
      <c r="D34" s="23">
        <v>2440.2714742450662</v>
      </c>
      <c r="E34" s="23">
        <v>6143.3691825050046</v>
      </c>
      <c r="F34" s="23">
        <v>7047.7703174966982</v>
      </c>
      <c r="G34" s="23">
        <v>8218.8458472828097</v>
      </c>
      <c r="H34" s="23">
        <v>7437.2974413081447</v>
      </c>
      <c r="I34" s="23">
        <f t="shared" si="0"/>
        <v>3696</v>
      </c>
      <c r="J34" s="23">
        <f t="shared" si="1"/>
        <v>4320</v>
      </c>
      <c r="K34" s="23">
        <f t="shared" si="2"/>
        <v>17004</v>
      </c>
      <c r="L34" s="23">
        <f t="shared" si="3"/>
        <v>20112</v>
      </c>
      <c r="M34" s="23">
        <f t="shared" si="4"/>
        <v>8976</v>
      </c>
      <c r="Q34" s="43" t="s">
        <v>101</v>
      </c>
      <c r="R34">
        <v>1800</v>
      </c>
      <c r="T34" s="43" t="s">
        <v>93</v>
      </c>
      <c r="U34">
        <v>672</v>
      </c>
      <c r="W34" s="43" t="s">
        <v>93</v>
      </c>
      <c r="X34">
        <v>1488</v>
      </c>
      <c r="Z34" s="43" t="s">
        <v>93</v>
      </c>
      <c r="AA34">
        <v>2812</v>
      </c>
      <c r="AC34" s="43" t="s">
        <v>20</v>
      </c>
      <c r="AD34">
        <v>6264</v>
      </c>
    </row>
    <row r="35" spans="1:30" x14ac:dyDescent="0.35">
      <c r="A35" s="5" t="s">
        <v>71</v>
      </c>
      <c r="B35" s="15" t="s">
        <v>72</v>
      </c>
      <c r="C35" s="23">
        <v>1377.8095640151957</v>
      </c>
      <c r="D35" s="23">
        <v>1377.8095640151957</v>
      </c>
      <c r="E35" s="23">
        <v>2866.7080782219696</v>
      </c>
      <c r="F35" s="23">
        <v>3108.5655586755647</v>
      </c>
      <c r="G35" s="23">
        <v>2982.5908582907805</v>
      </c>
      <c r="H35" s="23">
        <v>3658.206753916053</v>
      </c>
      <c r="I35" s="23">
        <f t="shared" si="0"/>
        <v>3072</v>
      </c>
      <c r="J35" s="23">
        <f t="shared" si="1"/>
        <v>1856</v>
      </c>
      <c r="K35" s="23">
        <f t="shared" si="2"/>
        <v>5088</v>
      </c>
      <c r="L35" s="23">
        <f t="shared" si="3"/>
        <v>6880</v>
      </c>
      <c r="M35" s="23">
        <f t="shared" si="4"/>
        <v>6352</v>
      </c>
      <c r="Q35" s="43" t="s">
        <v>20</v>
      </c>
      <c r="R35">
        <v>10296</v>
      </c>
      <c r="T35" s="43" t="s">
        <v>99</v>
      </c>
      <c r="U35">
        <v>336</v>
      </c>
      <c r="W35" s="43" t="s">
        <v>99</v>
      </c>
      <c r="X35">
        <v>960</v>
      </c>
      <c r="Z35" s="43" t="s">
        <v>99</v>
      </c>
      <c r="AA35">
        <v>2016</v>
      </c>
      <c r="AC35" s="43" t="s">
        <v>24</v>
      </c>
      <c r="AD35">
        <v>816</v>
      </c>
    </row>
    <row r="36" spans="1:30" x14ac:dyDescent="0.35">
      <c r="A36" s="10" t="s">
        <v>73</v>
      </c>
      <c r="B36" s="6" t="s">
        <v>74</v>
      </c>
      <c r="C36" s="23">
        <v>387.52800799550437</v>
      </c>
      <c r="D36" s="23">
        <v>387.52800799550437</v>
      </c>
      <c r="E36" s="23">
        <v>646.96669693546426</v>
      </c>
      <c r="F36" s="23">
        <v>647.46834390910317</v>
      </c>
      <c r="G36" s="23">
        <v>853.5234266410107</v>
      </c>
      <c r="H36" s="23">
        <v>669.24415584415601</v>
      </c>
      <c r="I36" s="23">
        <f t="shared" si="0"/>
        <v>840</v>
      </c>
      <c r="J36" s="23">
        <f t="shared" si="1"/>
        <v>610</v>
      </c>
      <c r="K36" s="23">
        <f t="shared" si="2"/>
        <v>3940</v>
      </c>
      <c r="L36" s="23">
        <f t="shared" si="3"/>
        <v>2880</v>
      </c>
      <c r="M36" s="23">
        <f t="shared" si="4"/>
        <v>2330</v>
      </c>
      <c r="Q36" s="43" t="s">
        <v>24</v>
      </c>
      <c r="R36">
        <v>1536</v>
      </c>
      <c r="T36" s="43" t="s">
        <v>101</v>
      </c>
      <c r="U36">
        <v>3024</v>
      </c>
      <c r="W36" s="43" t="s">
        <v>95</v>
      </c>
      <c r="X36">
        <v>240</v>
      </c>
      <c r="Z36" s="43" t="s">
        <v>95</v>
      </c>
      <c r="AA36">
        <v>384</v>
      </c>
      <c r="AC36" s="43" t="s">
        <v>14</v>
      </c>
      <c r="AD36">
        <v>11001</v>
      </c>
    </row>
    <row r="37" spans="1:30" x14ac:dyDescent="0.35">
      <c r="A37" s="10" t="s">
        <v>75</v>
      </c>
      <c r="B37" s="6" t="s">
        <v>76</v>
      </c>
      <c r="C37" s="23">
        <v>479.94949499459455</v>
      </c>
      <c r="D37" s="23">
        <v>479.94949499459455</v>
      </c>
      <c r="E37" s="23">
        <v>833.06944296303152</v>
      </c>
      <c r="F37" s="23">
        <v>906.46467358531299</v>
      </c>
      <c r="G37" s="23">
        <v>1136.7974046358147</v>
      </c>
      <c r="H37" s="23">
        <v>948.43506493506504</v>
      </c>
      <c r="I37" s="23">
        <f t="shared" si="0"/>
        <v>730</v>
      </c>
      <c r="J37" s="23">
        <f t="shared" si="1"/>
        <v>2920</v>
      </c>
      <c r="K37" s="23">
        <f t="shared" si="2"/>
        <v>2700</v>
      </c>
      <c r="L37" s="23">
        <f t="shared" si="3"/>
        <v>4490</v>
      </c>
      <c r="M37" s="23">
        <f t="shared" si="4"/>
        <v>5310</v>
      </c>
      <c r="Q37" s="43" t="s">
        <v>14</v>
      </c>
      <c r="R37">
        <v>13920</v>
      </c>
      <c r="T37" s="43" t="s">
        <v>20</v>
      </c>
      <c r="U37">
        <v>10344</v>
      </c>
      <c r="W37" s="43" t="s">
        <v>101</v>
      </c>
      <c r="X37">
        <v>6858</v>
      </c>
      <c r="Z37" s="43" t="s">
        <v>101</v>
      </c>
      <c r="AA37">
        <v>4729</v>
      </c>
      <c r="AC37" s="43" t="s">
        <v>169</v>
      </c>
      <c r="AD37">
        <v>444</v>
      </c>
    </row>
    <row r="38" spans="1:30" x14ac:dyDescent="0.35">
      <c r="A38" s="12" t="s">
        <v>77</v>
      </c>
      <c r="B38" s="13" t="s">
        <v>78</v>
      </c>
      <c r="C38" s="23">
        <v>0</v>
      </c>
      <c r="D38" s="23">
        <v>0</v>
      </c>
      <c r="E38" s="23" t="s">
        <v>149</v>
      </c>
      <c r="F38" s="23" t="s">
        <v>149</v>
      </c>
      <c r="G38" s="23" t="s">
        <v>149</v>
      </c>
      <c r="H38" s="23" t="s">
        <v>149</v>
      </c>
      <c r="I38" s="23">
        <f t="shared" si="0"/>
        <v>120</v>
      </c>
      <c r="J38" s="23">
        <f t="shared" si="1"/>
        <v>90</v>
      </c>
      <c r="K38" s="23">
        <f t="shared" si="2"/>
        <v>60</v>
      </c>
      <c r="L38" s="23">
        <f t="shared" si="3"/>
        <v>60</v>
      </c>
      <c r="M38" s="23" t="str">
        <f t="shared" si="4"/>
        <v>-</v>
      </c>
      <c r="Q38" s="43" t="s">
        <v>16</v>
      </c>
      <c r="R38">
        <v>20160</v>
      </c>
      <c r="T38" s="43" t="s">
        <v>24</v>
      </c>
      <c r="U38">
        <v>2280</v>
      </c>
      <c r="W38" s="43" t="s">
        <v>20</v>
      </c>
      <c r="X38">
        <v>13968</v>
      </c>
      <c r="Z38" s="43" t="s">
        <v>20</v>
      </c>
      <c r="AA38">
        <v>11928</v>
      </c>
      <c r="AC38" s="43" t="s">
        <v>16</v>
      </c>
      <c r="AD38">
        <v>24000</v>
      </c>
    </row>
    <row r="39" spans="1:30" x14ac:dyDescent="0.35">
      <c r="A39" s="5" t="s">
        <v>79</v>
      </c>
      <c r="B39" s="6" t="s">
        <v>80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 t="str">
        <f t="shared" si="0"/>
        <v>-</v>
      </c>
      <c r="J39" s="23" t="str">
        <f t="shared" si="1"/>
        <v>-</v>
      </c>
      <c r="K39" s="23" t="str">
        <f t="shared" si="2"/>
        <v>-</v>
      </c>
      <c r="L39" s="23" t="str">
        <f t="shared" si="3"/>
        <v>-</v>
      </c>
      <c r="M39" s="23" t="str">
        <f t="shared" si="4"/>
        <v>-</v>
      </c>
      <c r="Q39" s="43" t="s">
        <v>22</v>
      </c>
      <c r="R39">
        <v>10080</v>
      </c>
      <c r="T39" s="43" t="s">
        <v>14</v>
      </c>
      <c r="U39">
        <v>13680</v>
      </c>
      <c r="W39" s="43" t="s">
        <v>24</v>
      </c>
      <c r="X39">
        <v>4038</v>
      </c>
      <c r="Z39" s="43" t="s">
        <v>24</v>
      </c>
      <c r="AA39">
        <v>2688</v>
      </c>
      <c r="AC39" s="43" t="s">
        <v>22</v>
      </c>
      <c r="AD39">
        <v>7668</v>
      </c>
    </row>
    <row r="40" spans="1:30" x14ac:dyDescent="0.35">
      <c r="A40" s="10" t="s">
        <v>81</v>
      </c>
      <c r="B40" s="6" t="s">
        <v>82</v>
      </c>
      <c r="C40" s="23">
        <v>317.74040314375321</v>
      </c>
      <c r="D40" s="23">
        <v>317.74040314375321</v>
      </c>
      <c r="E40" s="23">
        <v>736.74933043335227</v>
      </c>
      <c r="F40" s="23">
        <v>829.93573076671294</v>
      </c>
      <c r="G40" s="23">
        <v>886.06790436989183</v>
      </c>
      <c r="H40" s="23">
        <v>776.42922077922094</v>
      </c>
      <c r="I40" s="23">
        <f t="shared" si="0"/>
        <v>650</v>
      </c>
      <c r="J40" s="23">
        <f t="shared" si="1"/>
        <v>1360</v>
      </c>
      <c r="K40" s="23">
        <f t="shared" si="2"/>
        <v>2690</v>
      </c>
      <c r="L40" s="23">
        <f t="shared" si="3"/>
        <v>2671</v>
      </c>
      <c r="M40" s="23">
        <f t="shared" si="4"/>
        <v>4220</v>
      </c>
      <c r="Q40" s="43" t="s">
        <v>26</v>
      </c>
      <c r="R40">
        <v>1980</v>
      </c>
      <c r="T40" s="43" t="s">
        <v>177</v>
      </c>
      <c r="U40">
        <v>97</v>
      </c>
      <c r="W40" s="43" t="s">
        <v>14</v>
      </c>
      <c r="X40">
        <v>16712</v>
      </c>
      <c r="Z40" s="43" t="s">
        <v>14</v>
      </c>
      <c r="AA40">
        <v>18760</v>
      </c>
      <c r="AC40" s="43" t="s">
        <v>26</v>
      </c>
      <c r="AD40">
        <v>7380</v>
      </c>
    </row>
    <row r="41" spans="1:30" x14ac:dyDescent="0.35">
      <c r="A41" s="12" t="s">
        <v>83</v>
      </c>
      <c r="B41" s="13" t="s">
        <v>84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f t="shared" si="0"/>
        <v>560</v>
      </c>
      <c r="J41" s="23">
        <f t="shared" si="1"/>
        <v>430</v>
      </c>
      <c r="K41" s="23">
        <f t="shared" si="2"/>
        <v>80</v>
      </c>
      <c r="L41" s="23">
        <f t="shared" si="3"/>
        <v>610</v>
      </c>
      <c r="M41" s="23">
        <f t="shared" si="4"/>
        <v>120</v>
      </c>
      <c r="Q41" s="43" t="s">
        <v>28</v>
      </c>
      <c r="R41">
        <v>7480</v>
      </c>
      <c r="T41" s="43" t="s">
        <v>18</v>
      </c>
      <c r="U41">
        <v>12</v>
      </c>
      <c r="W41" s="43" t="s">
        <v>177</v>
      </c>
      <c r="X41">
        <v>96</v>
      </c>
      <c r="Z41" s="43" t="s">
        <v>169</v>
      </c>
      <c r="AC41" s="43" t="s">
        <v>137</v>
      </c>
      <c r="AD41">
        <v>30</v>
      </c>
    </row>
    <row r="42" spans="1:30" x14ac:dyDescent="0.35">
      <c r="A42" s="12" t="s">
        <v>85</v>
      </c>
      <c r="B42" s="13" t="s">
        <v>86</v>
      </c>
      <c r="C42" s="23">
        <v>0</v>
      </c>
      <c r="D42" s="23">
        <v>0</v>
      </c>
      <c r="E42" s="23" t="s">
        <v>149</v>
      </c>
      <c r="F42" s="23" t="s">
        <v>149</v>
      </c>
      <c r="G42" s="23" t="s">
        <v>149</v>
      </c>
      <c r="H42" s="23" t="s">
        <v>149</v>
      </c>
      <c r="I42" s="23">
        <f t="shared" si="0"/>
        <v>60</v>
      </c>
      <c r="J42" s="23">
        <f t="shared" si="1"/>
        <v>60</v>
      </c>
      <c r="K42" s="23" t="str">
        <f t="shared" si="2"/>
        <v>-</v>
      </c>
      <c r="L42" s="23" t="str">
        <f t="shared" si="3"/>
        <v>-</v>
      </c>
      <c r="M42" s="23" t="str">
        <f t="shared" si="4"/>
        <v>-</v>
      </c>
      <c r="Q42" s="43" t="s">
        <v>40</v>
      </c>
      <c r="R42">
        <v>400</v>
      </c>
      <c r="T42" s="43" t="s">
        <v>16</v>
      </c>
      <c r="U42">
        <v>15480</v>
      </c>
      <c r="W42" s="43" t="s">
        <v>18</v>
      </c>
      <c r="X42">
        <v>62</v>
      </c>
      <c r="Z42" s="43" t="s">
        <v>177</v>
      </c>
      <c r="AA42">
        <v>336</v>
      </c>
      <c r="AC42" s="43" t="s">
        <v>139</v>
      </c>
      <c r="AD42">
        <v>30</v>
      </c>
    </row>
    <row r="43" spans="1:30" x14ac:dyDescent="0.35">
      <c r="A43" s="12" t="s">
        <v>87</v>
      </c>
      <c r="B43" s="13" t="s">
        <v>88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f t="shared" si="0"/>
        <v>310</v>
      </c>
      <c r="J43" s="23">
        <f t="shared" si="1"/>
        <v>10</v>
      </c>
      <c r="K43" s="23">
        <f t="shared" si="2"/>
        <v>30</v>
      </c>
      <c r="L43" s="23">
        <f t="shared" si="3"/>
        <v>310</v>
      </c>
      <c r="M43" s="23">
        <f t="shared" si="4"/>
        <v>10</v>
      </c>
      <c r="Q43" s="43" t="s">
        <v>38</v>
      </c>
      <c r="R43">
        <v>4672</v>
      </c>
      <c r="T43" s="43" t="s">
        <v>22</v>
      </c>
      <c r="U43">
        <v>8280</v>
      </c>
      <c r="W43" s="43" t="s">
        <v>16</v>
      </c>
      <c r="X43">
        <v>41581</v>
      </c>
      <c r="Z43" s="43" t="s">
        <v>16</v>
      </c>
      <c r="AA43">
        <v>26653</v>
      </c>
      <c r="AC43" s="43" t="s">
        <v>28</v>
      </c>
      <c r="AD43">
        <v>19400</v>
      </c>
    </row>
    <row r="44" spans="1:30" x14ac:dyDescent="0.35">
      <c r="A44" s="3" t="s">
        <v>89</v>
      </c>
      <c r="B44" s="4"/>
      <c r="C44" s="4"/>
      <c r="D44" s="4"/>
      <c r="E44" s="4"/>
      <c r="F44" s="4"/>
      <c r="G44" s="4"/>
      <c r="H44" s="24"/>
      <c r="I44" s="24"/>
      <c r="J44" s="24"/>
      <c r="K44" s="24"/>
      <c r="L44" s="24"/>
      <c r="M44" s="24"/>
      <c r="Q44" s="43" t="s">
        <v>34</v>
      </c>
      <c r="R44">
        <v>1140</v>
      </c>
      <c r="T44" s="43" t="s">
        <v>26</v>
      </c>
      <c r="U44">
        <v>3780</v>
      </c>
      <c r="W44" s="43" t="s">
        <v>22</v>
      </c>
      <c r="X44">
        <v>18180</v>
      </c>
      <c r="Z44" s="43" t="s">
        <v>22</v>
      </c>
      <c r="AA44">
        <v>7476</v>
      </c>
      <c r="AC44" s="43" t="s">
        <v>40</v>
      </c>
      <c r="AD44">
        <v>340</v>
      </c>
    </row>
    <row r="45" spans="1:30" x14ac:dyDescent="0.35">
      <c r="A45" s="5" t="s">
        <v>90</v>
      </c>
      <c r="B45" s="6" t="s">
        <v>91</v>
      </c>
      <c r="C45" s="23">
        <v>639.86791604094685</v>
      </c>
      <c r="D45" s="23">
        <v>639.86791604094685</v>
      </c>
      <c r="E45" s="23">
        <v>2330.6646804462762</v>
      </c>
      <c r="F45" s="23">
        <v>2275.6937594081469</v>
      </c>
      <c r="G45" s="23">
        <v>2809.7155291729514</v>
      </c>
      <c r="H45" s="23">
        <v>2487.6568580255694</v>
      </c>
      <c r="I45" s="23">
        <f t="shared" si="0"/>
        <v>2544</v>
      </c>
      <c r="J45" s="23">
        <f t="shared" si="1"/>
        <v>2136</v>
      </c>
      <c r="K45" s="23">
        <f t="shared" si="2"/>
        <v>4704</v>
      </c>
      <c r="L45" s="23">
        <f t="shared" si="3"/>
        <v>4897</v>
      </c>
      <c r="M45" s="23">
        <f t="shared" si="4"/>
        <v>3000</v>
      </c>
      <c r="Q45" s="43" t="s">
        <v>36</v>
      </c>
      <c r="R45">
        <v>780</v>
      </c>
      <c r="T45" s="43" t="s">
        <v>28</v>
      </c>
      <c r="U45">
        <v>7200</v>
      </c>
      <c r="W45" s="43" t="s">
        <v>26</v>
      </c>
      <c r="X45">
        <v>6984</v>
      </c>
      <c r="Z45" s="43" t="s">
        <v>26</v>
      </c>
      <c r="AA45">
        <v>10171</v>
      </c>
      <c r="AC45" s="43" t="s">
        <v>38</v>
      </c>
      <c r="AD45">
        <v>8192</v>
      </c>
    </row>
    <row r="46" spans="1:30" x14ac:dyDescent="0.35">
      <c r="A46" s="10" t="s">
        <v>92</v>
      </c>
      <c r="B46" s="6" t="s">
        <v>93</v>
      </c>
      <c r="C46" s="23">
        <v>576.4390137051347</v>
      </c>
      <c r="D46" s="23">
        <v>576.4390137051347</v>
      </c>
      <c r="E46" s="23">
        <v>999.17056211691443</v>
      </c>
      <c r="F46" s="23">
        <v>1039.9868930765622</v>
      </c>
      <c r="G46" s="23">
        <v>1655.0574156554292</v>
      </c>
      <c r="H46" s="23">
        <v>1819.3593273961656</v>
      </c>
      <c r="I46" s="23">
        <f t="shared" si="0"/>
        <v>720</v>
      </c>
      <c r="J46" s="23">
        <f t="shared" si="1"/>
        <v>672</v>
      </c>
      <c r="K46" s="23">
        <f t="shared" si="2"/>
        <v>1488</v>
      </c>
      <c r="L46" s="23">
        <f t="shared" si="3"/>
        <v>2812</v>
      </c>
      <c r="M46" s="23">
        <f t="shared" si="4"/>
        <v>3785</v>
      </c>
      <c r="Q46" s="43" t="s">
        <v>30</v>
      </c>
      <c r="R46">
        <v>20</v>
      </c>
      <c r="T46" s="43" t="s">
        <v>40</v>
      </c>
      <c r="U46">
        <v>260</v>
      </c>
      <c r="W46" s="43" t="s">
        <v>28</v>
      </c>
      <c r="X46">
        <v>16796</v>
      </c>
      <c r="Z46" s="43" t="s">
        <v>137</v>
      </c>
      <c r="AA46">
        <v>244</v>
      </c>
      <c r="AC46" s="43" t="s">
        <v>34</v>
      </c>
      <c r="AD46">
        <v>2940</v>
      </c>
    </row>
    <row r="47" spans="1:30" x14ac:dyDescent="0.35">
      <c r="A47" s="10" t="s">
        <v>94</v>
      </c>
      <c r="B47" s="6" t="s">
        <v>95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f t="shared" si="0"/>
        <v>192</v>
      </c>
      <c r="J47" s="23" t="str">
        <f t="shared" si="1"/>
        <v>-</v>
      </c>
      <c r="K47" s="23">
        <f t="shared" si="2"/>
        <v>240</v>
      </c>
      <c r="L47" s="23">
        <f t="shared" si="3"/>
        <v>384</v>
      </c>
      <c r="M47" s="23">
        <f t="shared" si="4"/>
        <v>432</v>
      </c>
      <c r="Q47" s="43" t="s">
        <v>32</v>
      </c>
      <c r="R47">
        <v>20</v>
      </c>
      <c r="T47" s="43" t="s">
        <v>38</v>
      </c>
      <c r="U47">
        <v>4796</v>
      </c>
      <c r="W47" s="43" t="s">
        <v>40</v>
      </c>
      <c r="X47">
        <v>1020</v>
      </c>
      <c r="Z47" s="43" t="s">
        <v>139</v>
      </c>
      <c r="AA47">
        <v>244</v>
      </c>
      <c r="AC47" s="43" t="s">
        <v>36</v>
      </c>
      <c r="AD47">
        <v>2640</v>
      </c>
    </row>
    <row r="48" spans="1:30" x14ac:dyDescent="0.35">
      <c r="A48" s="10" t="s">
        <v>96</v>
      </c>
      <c r="B48" s="6" t="s">
        <v>97</v>
      </c>
      <c r="C48" s="23">
        <v>274.65237856053557</v>
      </c>
      <c r="D48" s="23">
        <v>274.65237856053557</v>
      </c>
      <c r="E48" s="23">
        <v>851.03117543457188</v>
      </c>
      <c r="F48" s="23">
        <v>762.93794036776694</v>
      </c>
      <c r="G48" s="23">
        <v>1099.1826918502111</v>
      </c>
      <c r="H48" s="23">
        <v>972.4285714285711</v>
      </c>
      <c r="I48" s="23">
        <f t="shared" si="0"/>
        <v>1488</v>
      </c>
      <c r="J48" s="23">
        <f t="shared" si="1"/>
        <v>708</v>
      </c>
      <c r="K48" s="23">
        <f t="shared" si="2"/>
        <v>1488</v>
      </c>
      <c r="L48" s="23">
        <f t="shared" si="3"/>
        <v>1825</v>
      </c>
      <c r="M48" s="23">
        <f t="shared" si="4"/>
        <v>2016</v>
      </c>
      <c r="Q48" s="43" t="s">
        <v>159</v>
      </c>
      <c r="R48">
        <v>3672</v>
      </c>
      <c r="T48" s="43" t="s">
        <v>34</v>
      </c>
      <c r="U48">
        <v>1860</v>
      </c>
      <c r="W48" s="43" t="s">
        <v>170</v>
      </c>
      <c r="X48">
        <v>20</v>
      </c>
      <c r="Z48" s="43" t="s">
        <v>28</v>
      </c>
      <c r="AA48">
        <v>26540</v>
      </c>
      <c r="AC48" s="43" t="s">
        <v>30</v>
      </c>
      <c r="AD48">
        <v>1120</v>
      </c>
    </row>
    <row r="49" spans="1:30" x14ac:dyDescent="0.35">
      <c r="A49" s="10" t="s">
        <v>98</v>
      </c>
      <c r="B49" s="6" t="s">
        <v>99</v>
      </c>
      <c r="C49" s="23">
        <v>153.21832435597619</v>
      </c>
      <c r="D49" s="23">
        <v>153.21832435597619</v>
      </c>
      <c r="E49" s="23">
        <v>337.41074492464611</v>
      </c>
      <c r="F49" s="23">
        <v>433.21734777365521</v>
      </c>
      <c r="G49" s="23">
        <v>367.27391295097584</v>
      </c>
      <c r="H49" s="23">
        <v>358.51168831168843</v>
      </c>
      <c r="I49" s="23">
        <f t="shared" si="0"/>
        <v>384</v>
      </c>
      <c r="J49" s="23">
        <f t="shared" si="1"/>
        <v>336</v>
      </c>
      <c r="K49" s="23">
        <f t="shared" si="2"/>
        <v>960</v>
      </c>
      <c r="L49" s="23">
        <f t="shared" si="3"/>
        <v>2016</v>
      </c>
      <c r="M49" s="23">
        <f t="shared" si="4"/>
        <v>2976</v>
      </c>
      <c r="Q49" s="43" t="s">
        <v>124</v>
      </c>
      <c r="R49">
        <v>6628</v>
      </c>
      <c r="T49" s="43" t="s">
        <v>36</v>
      </c>
      <c r="U49">
        <v>1620</v>
      </c>
      <c r="W49" s="43" t="s">
        <v>38</v>
      </c>
      <c r="X49">
        <v>8896</v>
      </c>
      <c r="Z49" s="43" t="s">
        <v>40</v>
      </c>
      <c r="AA49">
        <v>1100</v>
      </c>
      <c r="AC49" s="43" t="s">
        <v>32</v>
      </c>
      <c r="AD49">
        <v>1040</v>
      </c>
    </row>
    <row r="50" spans="1:30" x14ac:dyDescent="0.35">
      <c r="A50" s="10" t="s">
        <v>100</v>
      </c>
      <c r="B50" s="16" t="s">
        <v>101</v>
      </c>
      <c r="C50" s="23">
        <v>829.7956402996457</v>
      </c>
      <c r="D50" s="23">
        <v>829.7956402996457</v>
      </c>
      <c r="E50" s="23">
        <v>3246.6939689873643</v>
      </c>
      <c r="F50" s="23">
        <v>2748.2662660270057</v>
      </c>
      <c r="G50" s="23">
        <v>2675.0812537293436</v>
      </c>
      <c r="H50" s="23">
        <v>3981.4559815051216</v>
      </c>
      <c r="I50" s="23">
        <f t="shared" si="0"/>
        <v>1800</v>
      </c>
      <c r="J50" s="23">
        <f t="shared" si="1"/>
        <v>3024</v>
      </c>
      <c r="K50" s="23">
        <f t="shared" si="2"/>
        <v>6858</v>
      </c>
      <c r="L50" s="23">
        <f t="shared" si="3"/>
        <v>4729</v>
      </c>
      <c r="M50" s="23">
        <f t="shared" si="4"/>
        <v>3120</v>
      </c>
      <c r="Q50" s="43" t="s">
        <v>127</v>
      </c>
      <c r="R50">
        <v>828</v>
      </c>
      <c r="T50" s="43" t="s">
        <v>30</v>
      </c>
      <c r="U50">
        <v>920</v>
      </c>
      <c r="W50" s="43" t="s">
        <v>34</v>
      </c>
      <c r="X50">
        <v>5640</v>
      </c>
      <c r="Z50" s="43" t="s">
        <v>170</v>
      </c>
      <c r="AA50">
        <v>208</v>
      </c>
      <c r="AC50" s="43" t="s">
        <v>159</v>
      </c>
      <c r="AD50">
        <v>289</v>
      </c>
    </row>
    <row r="51" spans="1:30" x14ac:dyDescent="0.35">
      <c r="A51" s="3" t="s">
        <v>102</v>
      </c>
      <c r="B51" s="4"/>
      <c r="C51" s="4"/>
      <c r="D51" s="4"/>
      <c r="E51" s="4"/>
      <c r="F51" s="4"/>
      <c r="G51" s="4"/>
      <c r="H51" s="24"/>
      <c r="I51" s="24"/>
      <c r="J51" s="24"/>
      <c r="K51" s="24"/>
      <c r="L51" s="24"/>
      <c r="M51" s="24"/>
      <c r="Q51" s="43" t="s">
        <v>173</v>
      </c>
      <c r="R51">
        <v>1</v>
      </c>
      <c r="T51" s="43" t="s">
        <v>32</v>
      </c>
      <c r="U51">
        <v>994</v>
      </c>
      <c r="W51" s="43" t="s">
        <v>36</v>
      </c>
      <c r="X51">
        <v>5344</v>
      </c>
      <c r="Z51" s="43" t="s">
        <v>38</v>
      </c>
      <c r="AA51">
        <v>11841</v>
      </c>
      <c r="AC51" s="43" t="s">
        <v>124</v>
      </c>
      <c r="AD51">
        <v>6360</v>
      </c>
    </row>
    <row r="52" spans="1:30" x14ac:dyDescent="0.35">
      <c r="A52" s="10" t="s">
        <v>103</v>
      </c>
      <c r="B52" s="6" t="s">
        <v>104</v>
      </c>
      <c r="C52" s="23">
        <v>351.3384264347506</v>
      </c>
      <c r="D52" s="23">
        <v>351.3384264347506</v>
      </c>
      <c r="E52" s="23">
        <v>1583.3892964041274</v>
      </c>
      <c r="F52" s="23">
        <v>1720.8471710258086</v>
      </c>
      <c r="G52" s="23">
        <v>2058.9115492870906</v>
      </c>
      <c r="H52" s="23">
        <v>1251.0010704928752</v>
      </c>
      <c r="I52" s="23">
        <f t="shared" si="0"/>
        <v>1184</v>
      </c>
      <c r="J52" s="23">
        <f t="shared" si="1"/>
        <v>2158</v>
      </c>
      <c r="K52" s="23">
        <f t="shared" si="2"/>
        <v>3328</v>
      </c>
      <c r="L52" s="23">
        <f t="shared" si="3"/>
        <v>3542</v>
      </c>
      <c r="M52" s="23">
        <f t="shared" si="4"/>
        <v>2381</v>
      </c>
      <c r="Q52" s="43" t="s">
        <v>160</v>
      </c>
      <c r="R52">
        <v>240</v>
      </c>
      <c r="T52" s="43" t="s">
        <v>159</v>
      </c>
      <c r="U52">
        <v>864</v>
      </c>
      <c r="W52" s="43" t="s">
        <v>30</v>
      </c>
      <c r="X52">
        <v>2880</v>
      </c>
      <c r="Z52" s="43" t="s">
        <v>143</v>
      </c>
      <c r="AA52">
        <v>268</v>
      </c>
      <c r="AC52" s="43" t="s">
        <v>135</v>
      </c>
      <c r="AD52">
        <v>105</v>
      </c>
    </row>
    <row r="53" spans="1:30" x14ac:dyDescent="0.35">
      <c r="A53" s="10" t="s">
        <v>105</v>
      </c>
      <c r="B53" s="6" t="s">
        <v>106</v>
      </c>
      <c r="C53" s="23">
        <v>254.63124853525258</v>
      </c>
      <c r="D53" s="23">
        <v>254.63124853525258</v>
      </c>
      <c r="E53" s="23">
        <v>1570.6791395402711</v>
      </c>
      <c r="F53" s="23">
        <v>1622.1435483179448</v>
      </c>
      <c r="G53" s="23">
        <v>1515.3202814163235</v>
      </c>
      <c r="H53" s="23">
        <v>1333.9169129959721</v>
      </c>
      <c r="I53" s="23">
        <f t="shared" si="0"/>
        <v>1226</v>
      </c>
      <c r="J53" s="23">
        <f t="shared" si="1"/>
        <v>1070</v>
      </c>
      <c r="K53" s="23">
        <f t="shared" si="2"/>
        <v>2596</v>
      </c>
      <c r="L53" s="23">
        <f t="shared" si="3"/>
        <v>2752</v>
      </c>
      <c r="M53" s="23">
        <f t="shared" si="4"/>
        <v>2682</v>
      </c>
      <c r="Q53" s="43" t="s">
        <v>122</v>
      </c>
      <c r="R53">
        <v>792</v>
      </c>
      <c r="T53" s="43" t="s">
        <v>124</v>
      </c>
      <c r="U53">
        <v>2724</v>
      </c>
      <c r="W53" s="43" t="s">
        <v>32</v>
      </c>
      <c r="X53">
        <v>3651</v>
      </c>
      <c r="Z53" s="43" t="s">
        <v>34</v>
      </c>
      <c r="AA53">
        <v>8701</v>
      </c>
      <c r="AC53" s="43" t="s">
        <v>42</v>
      </c>
      <c r="AD53">
        <v>3168</v>
      </c>
    </row>
    <row r="54" spans="1:30" x14ac:dyDescent="0.35">
      <c r="A54" s="10" t="s">
        <v>107</v>
      </c>
      <c r="B54" s="6" t="s">
        <v>108</v>
      </c>
      <c r="C54" s="23">
        <v>56.322320529794311</v>
      </c>
      <c r="D54" s="23">
        <v>56.322320529794311</v>
      </c>
      <c r="E54" s="23">
        <v>597.78603269473786</v>
      </c>
      <c r="F54" s="23">
        <v>535.75632282048139</v>
      </c>
      <c r="G54" s="23">
        <v>439.8819104960329</v>
      </c>
      <c r="H54" s="23">
        <v>232.77885635888262</v>
      </c>
      <c r="I54" s="23">
        <f t="shared" si="0"/>
        <v>266</v>
      </c>
      <c r="J54" s="23">
        <f t="shared" si="1"/>
        <v>364</v>
      </c>
      <c r="K54" s="23">
        <f t="shared" si="2"/>
        <v>994</v>
      </c>
      <c r="L54" s="23">
        <f t="shared" si="3"/>
        <v>953</v>
      </c>
      <c r="M54" s="23">
        <f t="shared" si="4"/>
        <v>14</v>
      </c>
      <c r="Q54" s="43" t="s">
        <v>120</v>
      </c>
      <c r="R54">
        <v>432</v>
      </c>
      <c r="T54" s="43" t="s">
        <v>167</v>
      </c>
      <c r="U54">
        <v>144</v>
      </c>
      <c r="W54" s="43" t="s">
        <v>159</v>
      </c>
      <c r="X54">
        <v>1296</v>
      </c>
      <c r="Z54" s="43" t="s">
        <v>36</v>
      </c>
      <c r="AA54">
        <v>5580</v>
      </c>
      <c r="AC54" s="43" t="s">
        <v>115</v>
      </c>
      <c r="AD54">
        <v>24840</v>
      </c>
    </row>
    <row r="55" spans="1:30" x14ac:dyDescent="0.35">
      <c r="A55" s="7" t="s">
        <v>109</v>
      </c>
      <c r="B55" s="15" t="s">
        <v>110</v>
      </c>
      <c r="C55" s="23">
        <v>686.17401575404131</v>
      </c>
      <c r="D55" s="23">
        <v>686.17401575404131</v>
      </c>
      <c r="E55" s="23">
        <v>223.11390394818488</v>
      </c>
      <c r="F55" s="23">
        <v>271.06038117282236</v>
      </c>
      <c r="G55" s="23">
        <v>455.07829448191563</v>
      </c>
      <c r="H55" s="23">
        <v>503.38075816768986</v>
      </c>
      <c r="I55" s="23">
        <f t="shared" si="0"/>
        <v>364</v>
      </c>
      <c r="J55" s="23">
        <f t="shared" si="1"/>
        <v>210</v>
      </c>
      <c r="K55" s="23">
        <f t="shared" si="2"/>
        <v>154</v>
      </c>
      <c r="L55" s="23">
        <f t="shared" si="3"/>
        <v>517</v>
      </c>
      <c r="M55" s="23">
        <f t="shared" si="4"/>
        <v>594</v>
      </c>
      <c r="Q55" s="43" t="s">
        <v>42</v>
      </c>
      <c r="R55">
        <v>1664</v>
      </c>
      <c r="T55" s="43" t="s">
        <v>127</v>
      </c>
      <c r="U55">
        <v>342</v>
      </c>
      <c r="W55" s="43" t="s">
        <v>124</v>
      </c>
      <c r="X55">
        <v>5935</v>
      </c>
      <c r="Z55" s="43" t="s">
        <v>30</v>
      </c>
      <c r="AA55">
        <v>3940</v>
      </c>
      <c r="AC55" s="43" t="s">
        <v>130</v>
      </c>
      <c r="AD55">
        <v>68</v>
      </c>
    </row>
    <row r="56" spans="1:30" x14ac:dyDescent="0.35">
      <c r="A56" s="7" t="s">
        <v>111</v>
      </c>
      <c r="B56" s="17" t="s">
        <v>112</v>
      </c>
      <c r="C56" s="23">
        <v>699.90823122811946</v>
      </c>
      <c r="D56" s="23">
        <v>699.90823122811946</v>
      </c>
      <c r="E56" s="23">
        <v>841.7240259811814</v>
      </c>
      <c r="F56" s="23">
        <v>1036.8890712309162</v>
      </c>
      <c r="G56" s="23">
        <v>1333.0897979806073</v>
      </c>
      <c r="H56" s="23">
        <v>1623.381976599811</v>
      </c>
      <c r="I56" s="23">
        <f t="shared" si="0"/>
        <v>1260</v>
      </c>
      <c r="J56" s="23">
        <f t="shared" si="1"/>
        <v>720</v>
      </c>
      <c r="K56" s="23">
        <f t="shared" si="2"/>
        <v>811</v>
      </c>
      <c r="L56" s="23">
        <f t="shared" si="3"/>
        <v>1358</v>
      </c>
      <c r="M56" s="23">
        <f t="shared" si="4"/>
        <v>790</v>
      </c>
      <c r="Q56" s="43" t="s">
        <v>115</v>
      </c>
      <c r="R56">
        <v>8100</v>
      </c>
      <c r="T56" s="43" t="s">
        <v>173</v>
      </c>
      <c r="U56">
        <v>1</v>
      </c>
      <c r="W56" s="43" t="s">
        <v>167</v>
      </c>
      <c r="X56">
        <v>72</v>
      </c>
      <c r="Z56" s="43" t="s">
        <v>32</v>
      </c>
      <c r="AA56">
        <v>4260</v>
      </c>
    </row>
    <row r="57" spans="1:30" x14ac:dyDescent="0.35">
      <c r="A57" s="3" t="s">
        <v>113</v>
      </c>
      <c r="B57" s="14"/>
      <c r="C57" s="14"/>
      <c r="D57" s="14"/>
      <c r="E57" s="14"/>
      <c r="F57" s="14"/>
      <c r="G57" s="14"/>
      <c r="H57" s="18"/>
      <c r="I57" s="18"/>
      <c r="J57" s="18"/>
      <c r="K57" s="18"/>
      <c r="L57" s="18"/>
      <c r="M57" s="18"/>
      <c r="Q57" s="43" t="s">
        <v>130</v>
      </c>
      <c r="R57">
        <v>998</v>
      </c>
      <c r="T57" s="43" t="s">
        <v>122</v>
      </c>
      <c r="U57">
        <v>1548</v>
      </c>
      <c r="W57" s="43" t="s">
        <v>127</v>
      </c>
      <c r="X57">
        <v>480</v>
      </c>
      <c r="Z57" s="43" t="s">
        <v>159</v>
      </c>
      <c r="AA57">
        <v>1296</v>
      </c>
    </row>
    <row r="58" spans="1:30" x14ac:dyDescent="0.35">
      <c r="A58" s="10" t="s">
        <v>114</v>
      </c>
      <c r="B58" s="6" t="s">
        <v>115</v>
      </c>
      <c r="C58" s="23">
        <v>5153.8068590377679</v>
      </c>
      <c r="D58" s="23">
        <v>5153.8068590377679</v>
      </c>
      <c r="E58" s="23">
        <v>11189.459570807288</v>
      </c>
      <c r="F58" s="23">
        <v>10752.240088004799</v>
      </c>
      <c r="G58" s="23">
        <v>14443.239360187214</v>
      </c>
      <c r="H58" s="23">
        <v>14771.737528062995</v>
      </c>
      <c r="I58" s="23">
        <f t="shared" si="0"/>
        <v>8100</v>
      </c>
      <c r="J58" s="23">
        <f t="shared" si="1"/>
        <v>7380</v>
      </c>
      <c r="K58" s="23">
        <f t="shared" si="2"/>
        <v>16560</v>
      </c>
      <c r="L58" s="23">
        <f t="shared" si="3"/>
        <v>25200</v>
      </c>
      <c r="M58" s="23">
        <f t="shared" si="4"/>
        <v>24840</v>
      </c>
      <c r="Q58" s="43" t="s">
        <v>162</v>
      </c>
      <c r="R58">
        <v>96</v>
      </c>
      <c r="T58" s="43" t="s">
        <v>120</v>
      </c>
      <c r="U58">
        <v>468</v>
      </c>
      <c r="W58" s="43" t="s">
        <v>160</v>
      </c>
      <c r="X58">
        <v>144</v>
      </c>
      <c r="Z58" s="43" t="s">
        <v>124</v>
      </c>
      <c r="AA58">
        <v>12048</v>
      </c>
    </row>
    <row r="59" spans="1:30" x14ac:dyDescent="0.35">
      <c r="A59" s="7" t="s">
        <v>116</v>
      </c>
      <c r="B59" s="8" t="s">
        <v>117</v>
      </c>
      <c r="C59" s="23" t="s">
        <v>149</v>
      </c>
      <c r="D59" s="23" t="s">
        <v>149</v>
      </c>
      <c r="E59" s="23" t="s">
        <v>149</v>
      </c>
      <c r="F59" s="23" t="s">
        <v>149</v>
      </c>
      <c r="G59" s="23" t="s">
        <v>149</v>
      </c>
      <c r="H59" s="23" t="s">
        <v>149</v>
      </c>
      <c r="I59" s="23" t="str">
        <f t="shared" si="0"/>
        <v>-</v>
      </c>
      <c r="J59" s="23" t="str">
        <f t="shared" si="1"/>
        <v>-</v>
      </c>
      <c r="K59" s="23" t="str">
        <f t="shared" si="2"/>
        <v>-</v>
      </c>
      <c r="L59" s="23" t="str">
        <f t="shared" si="3"/>
        <v>-</v>
      </c>
      <c r="M59" s="23" t="str">
        <f t="shared" si="4"/>
        <v>-</v>
      </c>
      <c r="Q59" s="43" t="s">
        <v>163</v>
      </c>
      <c r="R59">
        <v>144</v>
      </c>
      <c r="T59" s="43" t="s">
        <v>42</v>
      </c>
      <c r="U59">
        <v>576</v>
      </c>
      <c r="W59" s="43" t="s">
        <v>122</v>
      </c>
      <c r="X59">
        <v>756</v>
      </c>
      <c r="Z59" s="43" t="s">
        <v>167</v>
      </c>
      <c r="AA59">
        <v>144</v>
      </c>
    </row>
    <row r="60" spans="1:30" x14ac:dyDescent="0.35">
      <c r="A60" s="3" t="s">
        <v>118</v>
      </c>
      <c r="B60" s="14"/>
      <c r="C60" s="14"/>
      <c r="D60" s="14"/>
      <c r="E60" s="14"/>
      <c r="F60" s="14"/>
      <c r="G60" s="14"/>
      <c r="H60" s="18"/>
      <c r="I60" s="18"/>
      <c r="J60" s="18"/>
      <c r="K60" s="18"/>
      <c r="L60" s="18"/>
      <c r="M60" s="18"/>
      <c r="Q60" s="43" t="s">
        <v>164</v>
      </c>
      <c r="R60">
        <v>288</v>
      </c>
      <c r="T60" s="43" t="s">
        <v>115</v>
      </c>
      <c r="U60">
        <v>7380</v>
      </c>
      <c r="W60" s="43" t="s">
        <v>120</v>
      </c>
      <c r="X60">
        <v>432</v>
      </c>
      <c r="Z60" s="43" t="s">
        <v>127</v>
      </c>
      <c r="AA60">
        <v>456</v>
      </c>
    </row>
    <row r="61" spans="1:30" x14ac:dyDescent="0.35">
      <c r="A61" s="7" t="s">
        <v>119</v>
      </c>
      <c r="B61" s="8" t="s">
        <v>120</v>
      </c>
      <c r="C61" s="23">
        <v>381.62998809386642</v>
      </c>
      <c r="D61" s="23">
        <v>381.62998809386642</v>
      </c>
      <c r="E61" s="23">
        <v>0</v>
      </c>
      <c r="F61" s="23">
        <v>0</v>
      </c>
      <c r="G61" s="23">
        <v>0</v>
      </c>
      <c r="H61" s="23">
        <v>0</v>
      </c>
      <c r="I61" s="23">
        <f t="shared" si="0"/>
        <v>432</v>
      </c>
      <c r="J61" s="23">
        <f t="shared" si="1"/>
        <v>468</v>
      </c>
      <c r="K61" s="23">
        <f t="shared" si="2"/>
        <v>432</v>
      </c>
      <c r="L61" s="23" t="str">
        <f t="shared" si="3"/>
        <v>-</v>
      </c>
      <c r="M61" s="23" t="str">
        <f t="shared" si="4"/>
        <v>-</v>
      </c>
      <c r="Q61" s="45" t="s">
        <v>165</v>
      </c>
      <c r="R61" s="46">
        <v>218049</v>
      </c>
      <c r="T61" s="43" t="s">
        <v>130</v>
      </c>
      <c r="U61">
        <v>800</v>
      </c>
      <c r="W61" s="43" t="s">
        <v>161</v>
      </c>
      <c r="X61">
        <v>160</v>
      </c>
      <c r="Z61" s="43" t="s">
        <v>160</v>
      </c>
      <c r="AA61">
        <v>336</v>
      </c>
    </row>
    <row r="62" spans="1:30" x14ac:dyDescent="0.35">
      <c r="A62" s="7" t="s">
        <v>121</v>
      </c>
      <c r="B62" s="8" t="s">
        <v>122</v>
      </c>
      <c r="C62" s="23">
        <v>500.58656591534475</v>
      </c>
      <c r="D62" s="23">
        <v>500.58656591534475</v>
      </c>
      <c r="E62" s="23">
        <v>0</v>
      </c>
      <c r="F62" s="23">
        <v>0</v>
      </c>
      <c r="G62" s="23">
        <v>0</v>
      </c>
      <c r="H62" s="23">
        <v>0</v>
      </c>
      <c r="I62" s="23">
        <f t="shared" si="0"/>
        <v>792</v>
      </c>
      <c r="J62" s="23">
        <f t="shared" si="1"/>
        <v>1548</v>
      </c>
      <c r="K62" s="23">
        <f t="shared" si="2"/>
        <v>756</v>
      </c>
      <c r="L62" s="23" t="str">
        <f t="shared" si="3"/>
        <v>-</v>
      </c>
      <c r="M62" s="23" t="str">
        <f t="shared" si="4"/>
        <v>-</v>
      </c>
      <c r="T62" s="43" t="s">
        <v>163</v>
      </c>
      <c r="U62">
        <v>96</v>
      </c>
      <c r="W62" s="43" t="s">
        <v>42</v>
      </c>
      <c r="X62">
        <v>1952</v>
      </c>
      <c r="Z62" s="43" t="s">
        <v>133</v>
      </c>
      <c r="AA62">
        <v>332</v>
      </c>
    </row>
    <row r="63" spans="1:30" x14ac:dyDescent="0.35">
      <c r="A63" s="7" t="s">
        <v>123</v>
      </c>
      <c r="B63" s="8" t="s">
        <v>124</v>
      </c>
      <c r="C63" s="23">
        <v>3579.3813273907117</v>
      </c>
      <c r="D63" s="23">
        <v>3579.3813273907117</v>
      </c>
      <c r="E63" s="23">
        <v>6150.368550368552</v>
      </c>
      <c r="F63" s="23">
        <v>5799.2203336971761</v>
      </c>
      <c r="G63" s="23">
        <v>9030.4573630423856</v>
      </c>
      <c r="H63" s="23">
        <v>9764.1049399681178</v>
      </c>
      <c r="I63" s="23">
        <f t="shared" si="0"/>
        <v>6628</v>
      </c>
      <c r="J63" s="23">
        <f t="shared" si="1"/>
        <v>2724</v>
      </c>
      <c r="K63" s="23">
        <f t="shared" si="2"/>
        <v>5935</v>
      </c>
      <c r="L63" s="23">
        <f t="shared" si="3"/>
        <v>12048</v>
      </c>
      <c r="M63" s="23">
        <f t="shared" si="4"/>
        <v>6360</v>
      </c>
      <c r="T63" s="43" t="s">
        <v>164</v>
      </c>
      <c r="U63">
        <v>192</v>
      </c>
      <c r="W63" s="43" t="s">
        <v>115</v>
      </c>
      <c r="X63">
        <v>16560</v>
      </c>
      <c r="Z63" s="43" t="s">
        <v>135</v>
      </c>
      <c r="AA63">
        <v>219</v>
      </c>
    </row>
    <row r="64" spans="1:30" x14ac:dyDescent="0.35">
      <c r="A64" s="3" t="s">
        <v>125</v>
      </c>
      <c r="B64" s="14"/>
      <c r="C64" s="14"/>
      <c r="D64" s="14"/>
      <c r="E64" s="14"/>
      <c r="F64" s="14"/>
      <c r="G64" s="14"/>
      <c r="H64" s="18"/>
      <c r="I64" s="18"/>
      <c r="J64" s="18"/>
      <c r="K64" s="18"/>
      <c r="L64" s="18"/>
      <c r="M64" s="18"/>
      <c r="T64" s="45" t="s">
        <v>165</v>
      </c>
      <c r="U64" s="46">
        <v>219700</v>
      </c>
      <c r="W64" s="43" t="s">
        <v>130</v>
      </c>
      <c r="X64">
        <v>700</v>
      </c>
      <c r="Z64" s="43" t="s">
        <v>161</v>
      </c>
      <c r="AA64">
        <v>32</v>
      </c>
    </row>
    <row r="65" spans="1:27" x14ac:dyDescent="0.35">
      <c r="A65" s="7" t="s">
        <v>126</v>
      </c>
      <c r="B65" s="15" t="s">
        <v>127</v>
      </c>
      <c r="C65" s="23">
        <v>566.7887076360123</v>
      </c>
      <c r="D65" s="23">
        <v>566.7887076360123</v>
      </c>
      <c r="E65" s="23">
        <v>0</v>
      </c>
      <c r="F65" s="23">
        <v>0</v>
      </c>
      <c r="G65" s="23">
        <v>0</v>
      </c>
      <c r="H65" s="23">
        <v>0</v>
      </c>
      <c r="I65" s="23">
        <f t="shared" si="0"/>
        <v>828</v>
      </c>
      <c r="J65" s="23">
        <f t="shared" si="1"/>
        <v>342</v>
      </c>
      <c r="K65" s="23">
        <f t="shared" si="2"/>
        <v>480</v>
      </c>
      <c r="L65" s="23">
        <f t="shared" si="3"/>
        <v>456</v>
      </c>
      <c r="M65" s="23" t="str">
        <f t="shared" si="4"/>
        <v>-</v>
      </c>
      <c r="W65" s="43" t="s">
        <v>163</v>
      </c>
      <c r="X65">
        <v>96</v>
      </c>
      <c r="Z65" s="43" t="s">
        <v>42</v>
      </c>
      <c r="AA65">
        <v>3744</v>
      </c>
    </row>
    <row r="66" spans="1:27" x14ac:dyDescent="0.35">
      <c r="A66" s="3" t="s">
        <v>128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W66" s="43" t="s">
        <v>164</v>
      </c>
      <c r="X66">
        <v>480</v>
      </c>
      <c r="Z66" s="43" t="s">
        <v>115</v>
      </c>
      <c r="AA66">
        <v>25200</v>
      </c>
    </row>
    <row r="67" spans="1:27" x14ac:dyDescent="0.35">
      <c r="A67" s="7" t="s">
        <v>129</v>
      </c>
      <c r="B67" s="8" t="s">
        <v>130</v>
      </c>
      <c r="C67" s="23">
        <v>0</v>
      </c>
      <c r="D67" s="23">
        <v>92.741815778925144</v>
      </c>
      <c r="E67" s="23">
        <v>192.56332791075991</v>
      </c>
      <c r="F67" s="23">
        <v>149.39651318730444</v>
      </c>
      <c r="G67" s="23">
        <v>0</v>
      </c>
      <c r="H67" s="23">
        <v>0</v>
      </c>
      <c r="I67" s="23">
        <f t="shared" si="0"/>
        <v>998</v>
      </c>
      <c r="J67" s="23">
        <f t="shared" si="1"/>
        <v>800</v>
      </c>
      <c r="K67" s="23">
        <f t="shared" si="2"/>
        <v>700</v>
      </c>
      <c r="L67" s="23">
        <f t="shared" si="3"/>
        <v>468</v>
      </c>
      <c r="M67" s="23">
        <f t="shared" si="4"/>
        <v>68</v>
      </c>
      <c r="W67" s="45" t="s">
        <v>165</v>
      </c>
      <c r="X67" s="46">
        <v>426722</v>
      </c>
      <c r="Z67" s="43" t="s">
        <v>130</v>
      </c>
      <c r="AA67">
        <v>468</v>
      </c>
    </row>
    <row r="68" spans="1:27" x14ac:dyDescent="0.35">
      <c r="A68" s="3" t="s">
        <v>131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Z68" s="43" t="s">
        <v>164</v>
      </c>
      <c r="AA68">
        <v>720</v>
      </c>
    </row>
    <row r="69" spans="1:27" x14ac:dyDescent="0.35">
      <c r="A69" s="7" t="s">
        <v>132</v>
      </c>
      <c r="B69" s="8" t="s">
        <v>133</v>
      </c>
      <c r="C69" s="23" t="s">
        <v>149</v>
      </c>
      <c r="D69" s="23" t="s">
        <v>149</v>
      </c>
      <c r="E69" s="23" t="s">
        <v>149</v>
      </c>
      <c r="F69" s="23">
        <v>1080</v>
      </c>
      <c r="G69" s="23">
        <v>900</v>
      </c>
      <c r="H69" s="23">
        <v>0</v>
      </c>
      <c r="I69" s="23" t="str">
        <f t="shared" si="0"/>
        <v>-</v>
      </c>
      <c r="J69" s="23" t="str">
        <f t="shared" si="1"/>
        <v>-</v>
      </c>
      <c r="K69" s="23" t="str">
        <f t="shared" si="2"/>
        <v>-</v>
      </c>
      <c r="L69" s="23">
        <f t="shared" si="3"/>
        <v>332</v>
      </c>
      <c r="M69" s="23" t="str">
        <f t="shared" si="4"/>
        <v>-</v>
      </c>
    </row>
    <row r="70" spans="1:27" x14ac:dyDescent="0.35">
      <c r="A70" s="7" t="s">
        <v>134</v>
      </c>
      <c r="B70" s="8" t="s">
        <v>135</v>
      </c>
      <c r="C70" s="23" t="s">
        <v>149</v>
      </c>
      <c r="D70" s="23" t="s">
        <v>149</v>
      </c>
      <c r="E70" s="23" t="s">
        <v>149</v>
      </c>
      <c r="F70" s="23">
        <v>630</v>
      </c>
      <c r="G70" s="23">
        <v>900</v>
      </c>
      <c r="H70" s="23">
        <v>0</v>
      </c>
      <c r="I70" s="23" t="str">
        <f t="shared" si="0"/>
        <v>-</v>
      </c>
      <c r="J70" s="23" t="str">
        <f t="shared" si="1"/>
        <v>-</v>
      </c>
      <c r="K70" s="23" t="str">
        <f t="shared" si="2"/>
        <v>-</v>
      </c>
      <c r="L70" s="23">
        <f t="shared" si="3"/>
        <v>219</v>
      </c>
      <c r="M70" s="23">
        <f t="shared" si="4"/>
        <v>105</v>
      </c>
    </row>
    <row r="71" spans="1:27" x14ac:dyDescent="0.35">
      <c r="A71" s="7" t="s">
        <v>136</v>
      </c>
      <c r="B71" s="8" t="s">
        <v>137</v>
      </c>
      <c r="C71" s="23" t="s">
        <v>149</v>
      </c>
      <c r="D71" s="23" t="s">
        <v>149</v>
      </c>
      <c r="E71" s="23" t="s">
        <v>149</v>
      </c>
      <c r="F71" s="23">
        <v>0</v>
      </c>
      <c r="G71" s="23">
        <v>0</v>
      </c>
      <c r="H71" s="23">
        <v>0</v>
      </c>
      <c r="I71" s="23" t="str">
        <f t="shared" ref="I71:I75" si="5">IFERROR(VLOOKUP($B71,$Q$2:$R$81,2,FALSE),"-")</f>
        <v>-</v>
      </c>
      <c r="J71" s="23" t="str">
        <f t="shared" ref="J71:J75" si="6">IFERROR(VLOOKUP($B71,$T$2:$U$81,2,FALSE),"-")</f>
        <v>-</v>
      </c>
      <c r="K71" s="23" t="str">
        <f t="shared" ref="K71:K75" si="7">IFERROR(VLOOKUP($B71,$W$2:$X$81,2,FALSE),"-")</f>
        <v>-</v>
      </c>
      <c r="L71" s="23">
        <f t="shared" ref="L71:L75" si="8">IFERROR(VLOOKUP($B71,$Z$2:$AA$81,2,FALSE),"-")</f>
        <v>244</v>
      </c>
      <c r="M71" s="23">
        <f t="shared" ref="M71:M75" si="9">IFERROR(VLOOKUP($B71,$AC$2:$AD$81,2,FALSE),"-")</f>
        <v>30</v>
      </c>
    </row>
    <row r="72" spans="1:27" x14ac:dyDescent="0.35">
      <c r="A72" s="7" t="s">
        <v>138</v>
      </c>
      <c r="B72" s="8" t="s">
        <v>139</v>
      </c>
      <c r="C72" s="23" t="s">
        <v>149</v>
      </c>
      <c r="D72" s="23" t="s">
        <v>149</v>
      </c>
      <c r="E72" s="23" t="s">
        <v>149</v>
      </c>
      <c r="F72" s="23">
        <v>0</v>
      </c>
      <c r="G72" s="23">
        <v>0</v>
      </c>
      <c r="H72" s="23">
        <v>0</v>
      </c>
      <c r="I72" s="23" t="str">
        <f t="shared" si="5"/>
        <v>-</v>
      </c>
      <c r="J72" s="23" t="str">
        <f t="shared" si="6"/>
        <v>-</v>
      </c>
      <c r="K72" s="23" t="str">
        <f t="shared" si="7"/>
        <v>-</v>
      </c>
      <c r="L72" s="23">
        <f t="shared" si="8"/>
        <v>244</v>
      </c>
      <c r="M72" s="23">
        <f t="shared" si="9"/>
        <v>30</v>
      </c>
    </row>
    <row r="73" spans="1:27" x14ac:dyDescent="0.35">
      <c r="A73" s="7" t="s">
        <v>140</v>
      </c>
      <c r="B73" s="8" t="s">
        <v>141</v>
      </c>
      <c r="C73" s="23" t="s">
        <v>149</v>
      </c>
      <c r="D73" s="23" t="s">
        <v>149</v>
      </c>
      <c r="E73" s="23" t="s">
        <v>149</v>
      </c>
      <c r="F73" s="23">
        <v>360</v>
      </c>
      <c r="G73" s="23">
        <v>450</v>
      </c>
      <c r="H73" s="23">
        <v>0</v>
      </c>
      <c r="I73" s="23" t="str">
        <f t="shared" si="5"/>
        <v>-</v>
      </c>
      <c r="J73" s="23" t="str">
        <f t="shared" si="6"/>
        <v>-</v>
      </c>
      <c r="K73" s="23" t="str">
        <f t="shared" si="7"/>
        <v>-</v>
      </c>
      <c r="L73" s="23">
        <f t="shared" si="8"/>
        <v>384</v>
      </c>
      <c r="M73" s="23" t="str">
        <f t="shared" si="9"/>
        <v>-</v>
      </c>
    </row>
    <row r="74" spans="1:27" x14ac:dyDescent="0.35">
      <c r="A74" s="7" t="s">
        <v>142</v>
      </c>
      <c r="B74" s="8" t="s">
        <v>143</v>
      </c>
      <c r="C74" s="23" t="s">
        <v>149</v>
      </c>
      <c r="D74" s="23" t="s">
        <v>149</v>
      </c>
      <c r="E74" s="23" t="s">
        <v>149</v>
      </c>
      <c r="F74" s="23">
        <v>0</v>
      </c>
      <c r="G74" s="23">
        <v>0</v>
      </c>
      <c r="H74" s="23">
        <v>0</v>
      </c>
      <c r="I74" s="23" t="str">
        <f t="shared" si="5"/>
        <v>-</v>
      </c>
      <c r="J74" s="23" t="str">
        <f t="shared" si="6"/>
        <v>-</v>
      </c>
      <c r="K74" s="23" t="str">
        <f t="shared" si="7"/>
        <v>-</v>
      </c>
      <c r="L74" s="23">
        <f t="shared" si="8"/>
        <v>268</v>
      </c>
      <c r="M74" s="23" t="str">
        <f t="shared" si="9"/>
        <v>-</v>
      </c>
    </row>
    <row r="75" spans="1:27" x14ac:dyDescent="0.35">
      <c r="A75" s="7" t="s">
        <v>144</v>
      </c>
      <c r="B75" s="8" t="s">
        <v>145</v>
      </c>
      <c r="C75" s="23" t="s">
        <v>149</v>
      </c>
      <c r="D75" s="23" t="s">
        <v>149</v>
      </c>
      <c r="E75" s="23" t="s">
        <v>149</v>
      </c>
      <c r="F75" s="23" t="s">
        <v>149</v>
      </c>
      <c r="G75" s="23">
        <v>180</v>
      </c>
      <c r="H75" s="23">
        <v>0</v>
      </c>
      <c r="I75" s="23" t="str">
        <f t="shared" si="5"/>
        <v>-</v>
      </c>
      <c r="J75" s="23" t="str">
        <f t="shared" si="6"/>
        <v>-</v>
      </c>
      <c r="K75" s="23" t="str">
        <f t="shared" si="7"/>
        <v>-</v>
      </c>
      <c r="L75" s="23" t="str">
        <f t="shared" si="8"/>
        <v>-</v>
      </c>
      <c r="M75" s="23" t="str">
        <f t="shared" si="9"/>
        <v>-</v>
      </c>
    </row>
  </sheetData>
  <mergeCells count="2">
    <mergeCell ref="C1:H1"/>
    <mergeCell ref="I1:M1"/>
  </mergeCells>
  <conditionalFormatting sqref="B65">
    <cfRule type="duplicateValues" dxfId="28" priority="1"/>
  </conditionalFormatting>
  <hyperlinks>
    <hyperlink ref="B75" r:id="rId1" display="https://sellercentral.amazon.in/skucentral?mSku=SANYF01&amp;condition=New&amp;ref_=myp_skuc" xr:uid="{42421404-6A9B-4EF9-B0F0-C212739B360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1DA93-59E4-4A0C-842E-73B109D29DF6}">
  <dimension ref="A1:AD75"/>
  <sheetViews>
    <sheetView topLeftCell="C1" workbookViewId="0">
      <selection activeCell="C1" sqref="C1:M1"/>
    </sheetView>
  </sheetViews>
  <sheetFormatPr defaultRowHeight="14.5" x14ac:dyDescent="0.35"/>
  <cols>
    <col min="1" max="1" width="56.453125" customWidth="1"/>
    <col min="2" max="2" width="11.90625" bestFit="1" customWidth="1"/>
    <col min="3" max="13" width="13.453125" bestFit="1" customWidth="1"/>
  </cols>
  <sheetData>
    <row r="1" spans="1:30" x14ac:dyDescent="0.35">
      <c r="C1" s="48" t="s">
        <v>171</v>
      </c>
      <c r="D1" s="48"/>
      <c r="E1" s="48"/>
      <c r="F1" s="48"/>
      <c r="G1" s="48"/>
      <c r="H1" s="48"/>
      <c r="I1" s="48" t="s">
        <v>172</v>
      </c>
      <c r="J1" s="48"/>
      <c r="K1" s="48"/>
      <c r="L1" s="48"/>
      <c r="M1" s="48"/>
    </row>
    <row r="2" spans="1:30" x14ac:dyDescent="0.35">
      <c r="B2" s="19" t="s">
        <v>146</v>
      </c>
      <c r="C2" s="27">
        <v>46113</v>
      </c>
      <c r="D2" s="27">
        <v>46143</v>
      </c>
      <c r="E2" s="27">
        <v>46174</v>
      </c>
      <c r="F2" s="27">
        <v>46204</v>
      </c>
      <c r="G2" s="27">
        <v>46235</v>
      </c>
      <c r="H2" s="27">
        <v>46266</v>
      </c>
      <c r="I2" s="27">
        <v>46113</v>
      </c>
      <c r="J2" s="27">
        <v>46143</v>
      </c>
      <c r="K2" s="27">
        <v>46174</v>
      </c>
      <c r="L2" s="27">
        <v>46204</v>
      </c>
      <c r="M2" s="27">
        <v>46235</v>
      </c>
      <c r="O2" s="44" t="s">
        <v>166</v>
      </c>
      <c r="P2" s="47">
        <v>46113</v>
      </c>
      <c r="R2" s="44" t="s">
        <v>156</v>
      </c>
      <c r="S2" s="47">
        <v>46143</v>
      </c>
      <c r="V2" s="44" t="s">
        <v>156</v>
      </c>
      <c r="W2" s="47">
        <v>46174</v>
      </c>
      <c r="Z2" s="44" t="s">
        <v>156</v>
      </c>
      <c r="AA2" s="47">
        <v>46204</v>
      </c>
      <c r="AC2" s="44" t="s">
        <v>156</v>
      </c>
      <c r="AD2" s="47">
        <v>46235</v>
      </c>
    </row>
    <row r="3" spans="1:30" x14ac:dyDescent="0.35">
      <c r="A3" s="1" t="s">
        <v>11</v>
      </c>
      <c r="B3" s="2"/>
      <c r="C3" s="21" t="s">
        <v>148</v>
      </c>
      <c r="D3" s="21" t="s">
        <v>148</v>
      </c>
      <c r="E3" s="21" t="s">
        <v>148</v>
      </c>
      <c r="F3" s="21" t="s">
        <v>148</v>
      </c>
      <c r="G3" s="21" t="s">
        <v>148</v>
      </c>
      <c r="H3" s="21" t="s">
        <v>148</v>
      </c>
      <c r="I3" s="21" t="s">
        <v>148</v>
      </c>
      <c r="J3" s="21" t="s">
        <v>148</v>
      </c>
      <c r="K3" s="21" t="s">
        <v>148</v>
      </c>
      <c r="L3" s="21" t="s">
        <v>148</v>
      </c>
      <c r="M3" s="21" t="s">
        <v>148</v>
      </c>
      <c r="O3" s="43" t="s">
        <v>110</v>
      </c>
      <c r="P3">
        <v>80</v>
      </c>
      <c r="R3" s="43" t="s">
        <v>110</v>
      </c>
      <c r="S3">
        <v>52</v>
      </c>
      <c r="V3" s="43" t="s">
        <v>110</v>
      </c>
      <c r="W3">
        <v>78</v>
      </c>
      <c r="Z3" s="43" t="s">
        <v>108</v>
      </c>
      <c r="AA3">
        <v>98</v>
      </c>
      <c r="AC3" s="43" t="s">
        <v>110</v>
      </c>
      <c r="AD3">
        <v>26</v>
      </c>
    </row>
    <row r="4" spans="1:30" x14ac:dyDescent="0.35">
      <c r="A4" s="3" t="s">
        <v>12</v>
      </c>
      <c r="B4" s="4"/>
      <c r="C4" s="4"/>
      <c r="D4" s="4"/>
      <c r="E4" s="4"/>
      <c r="F4" s="4"/>
      <c r="G4" s="4"/>
      <c r="H4" s="22"/>
      <c r="I4" s="4"/>
      <c r="J4" s="4"/>
      <c r="K4" s="4"/>
      <c r="L4" s="4"/>
      <c r="M4" s="4"/>
      <c r="O4" s="43" t="s">
        <v>108</v>
      </c>
      <c r="P4">
        <v>84</v>
      </c>
      <c r="R4" s="43" t="s">
        <v>108</v>
      </c>
      <c r="S4">
        <v>84</v>
      </c>
      <c r="V4" s="43" t="s">
        <v>108</v>
      </c>
      <c r="W4">
        <v>140</v>
      </c>
      <c r="Z4" s="43" t="s">
        <v>106</v>
      </c>
      <c r="AA4">
        <v>494</v>
      </c>
      <c r="AC4" s="43" t="s">
        <v>106</v>
      </c>
      <c r="AD4">
        <v>390</v>
      </c>
    </row>
    <row r="5" spans="1:30" x14ac:dyDescent="0.35">
      <c r="A5" s="5" t="s">
        <v>13</v>
      </c>
      <c r="B5" s="6" t="s">
        <v>14</v>
      </c>
      <c r="C5" s="23">
        <v>2862.5849208899044</v>
      </c>
      <c r="D5" s="23">
        <v>2862.5849208899044</v>
      </c>
      <c r="E5" s="23">
        <v>3685.4943764012619</v>
      </c>
      <c r="F5" s="23">
        <v>3323.2397706556139</v>
      </c>
      <c r="G5" s="23">
        <v>5894.1526733414939</v>
      </c>
      <c r="H5" s="23">
        <v>4548.5054089355299</v>
      </c>
      <c r="I5" s="49">
        <f>IFERROR(VLOOKUP($B5,$O$2:$P$55,2,FALSE),"-")</f>
        <v>3096</v>
      </c>
      <c r="J5" s="49">
        <f>IFERROR(VLOOKUP($B5,$R$2:$S$65,2,FALSE),"-")</f>
        <v>4536</v>
      </c>
      <c r="K5" s="49">
        <f>IFERROR(VLOOKUP($B5,$V$2:$W$65,2,FALSE),"-")</f>
        <v>4536</v>
      </c>
      <c r="L5" s="49">
        <f>IFERROR(VLOOKUP($B5,$Z$2:$AA$65,2,FALSE),"-")</f>
        <v>5256</v>
      </c>
      <c r="M5" s="49">
        <f>IFERROR(VLOOKUP($B5,$AC$2:$AD$65,2,FALSE),"-")</f>
        <v>3300</v>
      </c>
      <c r="O5" s="43" t="s">
        <v>106</v>
      </c>
      <c r="P5">
        <v>260</v>
      </c>
      <c r="R5" s="43" t="s">
        <v>106</v>
      </c>
      <c r="S5">
        <v>312</v>
      </c>
      <c r="V5" s="43" t="s">
        <v>106</v>
      </c>
      <c r="W5">
        <v>416</v>
      </c>
      <c r="Z5" s="43" t="s">
        <v>104</v>
      </c>
      <c r="AA5">
        <v>936</v>
      </c>
      <c r="AC5" s="43" t="s">
        <v>104</v>
      </c>
      <c r="AD5">
        <v>520</v>
      </c>
    </row>
    <row r="6" spans="1:30" x14ac:dyDescent="0.35">
      <c r="A6" s="7" t="s">
        <v>15</v>
      </c>
      <c r="B6" s="8" t="s">
        <v>16</v>
      </c>
      <c r="C6" s="23">
        <v>3487.3106514179785</v>
      </c>
      <c r="D6" s="23">
        <v>3487.3106514179785</v>
      </c>
      <c r="E6" s="23">
        <v>6907.7921613845328</v>
      </c>
      <c r="F6" s="23">
        <v>6380.0593565273239</v>
      </c>
      <c r="G6" s="23">
        <v>6360.5310435152014</v>
      </c>
      <c r="H6" s="23">
        <v>6389.1951442900436</v>
      </c>
      <c r="I6" s="49">
        <f>IFERROR(VLOOKUP($B6,$O$2:$P$55,2,FALSE),"-")</f>
        <v>5280</v>
      </c>
      <c r="J6" s="49">
        <f>IFERROR(VLOOKUP($B6,$R$2:$S$65,2,FALSE),"-")</f>
        <v>5220</v>
      </c>
      <c r="K6" s="49">
        <f>IFERROR(VLOOKUP($B6,$V$2:$W$65,2,FALSE),"-")</f>
        <v>4320</v>
      </c>
      <c r="L6" s="49">
        <f>IFERROR(VLOOKUP($B6,$Z$2:$AA$65,2,FALSE),"-")</f>
        <v>4320</v>
      </c>
      <c r="M6" s="49">
        <f>IFERROR(VLOOKUP($B6,$AC$2:$AD$65,2,FALSE),"-")</f>
        <v>3780</v>
      </c>
      <c r="O6" s="43" t="s">
        <v>104</v>
      </c>
      <c r="P6">
        <v>130</v>
      </c>
      <c r="R6" s="43" t="s">
        <v>104</v>
      </c>
      <c r="S6">
        <v>364</v>
      </c>
      <c r="V6" s="43" t="s">
        <v>104</v>
      </c>
      <c r="W6">
        <v>650</v>
      </c>
      <c r="Z6" s="43" t="s">
        <v>70</v>
      </c>
      <c r="AA6">
        <v>2352</v>
      </c>
      <c r="AC6" s="43" t="s">
        <v>70</v>
      </c>
      <c r="AD6">
        <v>1536</v>
      </c>
    </row>
    <row r="7" spans="1:30" x14ac:dyDescent="0.35">
      <c r="A7" s="7" t="s">
        <v>17</v>
      </c>
      <c r="B7" s="8" t="s">
        <v>18</v>
      </c>
      <c r="C7" s="23" t="s">
        <v>149</v>
      </c>
      <c r="D7" s="23" t="s">
        <v>149</v>
      </c>
      <c r="E7" s="23" t="s">
        <v>149</v>
      </c>
      <c r="F7" s="23" t="s">
        <v>149</v>
      </c>
      <c r="G7" s="23" t="s">
        <v>149</v>
      </c>
      <c r="H7" s="23" t="s">
        <v>149</v>
      </c>
      <c r="I7" s="49" t="str">
        <f>IFERROR(VLOOKUP($B7,$O$2:$P$55,2,FALSE),"-")</f>
        <v>-</v>
      </c>
      <c r="J7" s="49" t="str">
        <f>IFERROR(VLOOKUP($B7,$R$2:$S$65,2,FALSE),"-")</f>
        <v>-</v>
      </c>
      <c r="K7" s="49" t="str">
        <f>IFERROR(VLOOKUP($B7,$V$2:$W$65,2,FALSE),"-")</f>
        <v>-</v>
      </c>
      <c r="L7" s="49" t="str">
        <f>IFERROR(VLOOKUP($B7,$Z$2:$AA$65,2,FALSE),"-")</f>
        <v>-</v>
      </c>
      <c r="M7" s="49" t="str">
        <f>IFERROR(VLOOKUP($B7,$AC$2:$AD$65,2,FALSE),"-")</f>
        <v>-</v>
      </c>
      <c r="O7" s="43" t="s">
        <v>70</v>
      </c>
      <c r="P7">
        <v>336</v>
      </c>
      <c r="R7" s="43" t="s">
        <v>70</v>
      </c>
      <c r="S7">
        <v>2112</v>
      </c>
      <c r="V7" s="43" t="s">
        <v>70</v>
      </c>
      <c r="W7">
        <v>4560</v>
      </c>
      <c r="Z7" s="43" t="s">
        <v>68</v>
      </c>
      <c r="AA7">
        <v>10656</v>
      </c>
      <c r="AC7" s="43" t="s">
        <v>68</v>
      </c>
      <c r="AD7">
        <v>6144</v>
      </c>
    </row>
    <row r="8" spans="1:30" x14ac:dyDescent="0.35">
      <c r="A8" s="5" t="s">
        <v>19</v>
      </c>
      <c r="B8" s="9" t="s">
        <v>20</v>
      </c>
      <c r="C8" s="23">
        <v>2354.5005179908858</v>
      </c>
      <c r="D8" s="23">
        <v>2354.5005179908858</v>
      </c>
      <c r="E8" s="23">
        <v>1909.3843153309608</v>
      </c>
      <c r="F8" s="23">
        <v>2591.3838317600953</v>
      </c>
      <c r="G8" s="23">
        <v>2766.0294724422447</v>
      </c>
      <c r="H8" s="23">
        <v>2645.7196875328946</v>
      </c>
      <c r="I8" s="49">
        <f>IFERROR(VLOOKUP($B8,$O$2:$P$55,2,FALSE),"-")</f>
        <v>2712</v>
      </c>
      <c r="J8" s="49">
        <f>IFERROR(VLOOKUP($B8,$R$2:$S$65,2,FALSE),"-")</f>
        <v>3384</v>
      </c>
      <c r="K8" s="49">
        <f>IFERROR(VLOOKUP($B8,$V$2:$W$65,2,FALSE),"-")</f>
        <v>2736</v>
      </c>
      <c r="L8" s="49">
        <f>IFERROR(VLOOKUP($B8,$Z$2:$AA$65,2,FALSE),"-")</f>
        <v>2952</v>
      </c>
      <c r="M8" s="49">
        <f>IFERROR(VLOOKUP($B8,$AC$2:$AD$65,2,FALSE),"-")</f>
        <v>2592</v>
      </c>
      <c r="O8" s="43" t="s">
        <v>68</v>
      </c>
      <c r="P8">
        <v>6240</v>
      </c>
      <c r="R8" s="43" t="s">
        <v>68</v>
      </c>
      <c r="S8">
        <v>10368</v>
      </c>
      <c r="V8" s="43" t="s">
        <v>68</v>
      </c>
      <c r="W8">
        <v>13440</v>
      </c>
      <c r="Z8" s="43" t="s">
        <v>72</v>
      </c>
      <c r="AA8">
        <v>1040</v>
      </c>
      <c r="AC8" s="43" t="s">
        <v>72</v>
      </c>
      <c r="AD8">
        <v>960</v>
      </c>
    </row>
    <row r="9" spans="1:30" x14ac:dyDescent="0.35">
      <c r="A9" s="7" t="s">
        <v>21</v>
      </c>
      <c r="B9" s="8" t="s">
        <v>22</v>
      </c>
      <c r="C9" s="23">
        <v>2537.0661776452812</v>
      </c>
      <c r="D9" s="23">
        <v>2537.0661776452812</v>
      </c>
      <c r="E9" s="23">
        <v>4263.5854398500232</v>
      </c>
      <c r="F9" s="23">
        <v>3790.0095209776896</v>
      </c>
      <c r="G9" s="23">
        <v>3031.0963023093518</v>
      </c>
      <c r="H9" s="23">
        <v>2896.6054297262326</v>
      </c>
      <c r="I9" s="49">
        <f>IFERROR(VLOOKUP($B9,$O$2:$P$55,2,FALSE),"-")</f>
        <v>2700</v>
      </c>
      <c r="J9" s="49">
        <f>IFERROR(VLOOKUP($B9,$R$2:$S$65,2,FALSE),"-")</f>
        <v>3600</v>
      </c>
      <c r="K9" s="49">
        <f>IFERROR(VLOOKUP($B9,$V$2:$W$65,2,FALSE),"-")</f>
        <v>2160</v>
      </c>
      <c r="L9" s="49">
        <f>IFERROR(VLOOKUP($B9,$Z$2:$AA$65,2,FALSE),"-")</f>
        <v>1800</v>
      </c>
      <c r="M9" s="49">
        <f>IFERROR(VLOOKUP($B9,$AC$2:$AD$65,2,FALSE),"-")</f>
        <v>1260</v>
      </c>
      <c r="O9" s="43" t="s">
        <v>72</v>
      </c>
      <c r="P9">
        <v>448</v>
      </c>
      <c r="R9" s="43" t="s">
        <v>72</v>
      </c>
      <c r="S9">
        <v>1124</v>
      </c>
      <c r="V9" s="43" t="s">
        <v>72</v>
      </c>
      <c r="W9">
        <v>1248</v>
      </c>
      <c r="Z9" s="43" t="s">
        <v>53</v>
      </c>
      <c r="AA9">
        <v>504</v>
      </c>
      <c r="AC9" s="43" t="s">
        <v>53</v>
      </c>
      <c r="AD9">
        <v>616</v>
      </c>
    </row>
    <row r="10" spans="1:30" x14ac:dyDescent="0.35">
      <c r="A10" s="5" t="s">
        <v>23</v>
      </c>
      <c r="B10" s="6" t="s">
        <v>24</v>
      </c>
      <c r="C10" s="23">
        <v>452.89511178987874</v>
      </c>
      <c r="D10" s="23">
        <v>452.89511178987874</v>
      </c>
      <c r="E10" s="23">
        <v>366.05215430717533</v>
      </c>
      <c r="F10" s="23">
        <v>466.12529474737727</v>
      </c>
      <c r="G10" s="23">
        <v>746.8275147130762</v>
      </c>
      <c r="H10" s="23">
        <v>634.4233819775867</v>
      </c>
      <c r="I10" s="49">
        <f>IFERROR(VLOOKUP($B10,$O$2:$P$55,2,FALSE),"-")</f>
        <v>384</v>
      </c>
      <c r="J10" s="49">
        <f>IFERROR(VLOOKUP($B10,$R$2:$S$65,2,FALSE),"-")</f>
        <v>480</v>
      </c>
      <c r="K10" s="49">
        <f>IFERROR(VLOOKUP($B10,$V$2:$W$65,2,FALSE),"-")</f>
        <v>480</v>
      </c>
      <c r="L10" s="49">
        <f>IFERROR(VLOOKUP($B10,$Z$2:$AA$65,2,FALSE),"-")</f>
        <v>336</v>
      </c>
      <c r="M10" s="49">
        <f>IFERROR(VLOOKUP($B10,$AC$2:$AD$65,2,FALSE),"-")</f>
        <v>432</v>
      </c>
      <c r="O10" s="43" t="s">
        <v>53</v>
      </c>
      <c r="P10">
        <v>280</v>
      </c>
      <c r="R10" s="43" t="s">
        <v>53</v>
      </c>
      <c r="S10">
        <v>392</v>
      </c>
      <c r="V10" s="43" t="s">
        <v>53</v>
      </c>
      <c r="W10">
        <v>336</v>
      </c>
      <c r="Z10" s="43" t="s">
        <v>51</v>
      </c>
      <c r="AA10">
        <v>13968</v>
      </c>
      <c r="AC10" s="43" t="s">
        <v>51</v>
      </c>
      <c r="AD10">
        <v>13536</v>
      </c>
    </row>
    <row r="11" spans="1:30" x14ac:dyDescent="0.35">
      <c r="A11" s="7" t="s">
        <v>25</v>
      </c>
      <c r="B11" s="8" t="s">
        <v>26</v>
      </c>
      <c r="C11" s="23">
        <v>59.402962048750382</v>
      </c>
      <c r="D11" s="23">
        <v>59.402962048750382</v>
      </c>
      <c r="E11" s="23">
        <v>401.17464884393826</v>
      </c>
      <c r="F11" s="23">
        <v>337.99688498631429</v>
      </c>
      <c r="G11" s="23">
        <v>475.05457888084567</v>
      </c>
      <c r="H11" s="23">
        <v>432.41809258522352</v>
      </c>
      <c r="I11" s="49">
        <f>IFERROR(VLOOKUP($B11,$O$2:$P$55,2,FALSE),"-")</f>
        <v>270</v>
      </c>
      <c r="J11" s="49">
        <f>IFERROR(VLOOKUP($B11,$R$2:$S$65,2,FALSE),"-")</f>
        <v>990</v>
      </c>
      <c r="K11" s="49">
        <f>IFERROR(VLOOKUP($B11,$V$2:$W$65,2,FALSE),"-")</f>
        <v>1260</v>
      </c>
      <c r="L11" s="49">
        <f>IFERROR(VLOOKUP($B11,$Z$2:$AA$65,2,FALSE),"-")</f>
        <v>270</v>
      </c>
      <c r="M11" s="49">
        <f>IFERROR(VLOOKUP($B11,$AC$2:$AD$65,2,FALSE),"-")</f>
        <v>540</v>
      </c>
      <c r="O11" s="43" t="s">
        <v>51</v>
      </c>
      <c r="P11">
        <v>4032</v>
      </c>
      <c r="R11" s="43" t="s">
        <v>51</v>
      </c>
      <c r="S11">
        <v>8496</v>
      </c>
      <c r="V11" s="43" t="s">
        <v>51</v>
      </c>
      <c r="W11">
        <v>11088</v>
      </c>
      <c r="Z11" s="43" t="s">
        <v>55</v>
      </c>
      <c r="AA11">
        <v>540</v>
      </c>
      <c r="AC11" s="43" t="s">
        <v>55</v>
      </c>
      <c r="AD11">
        <v>486</v>
      </c>
    </row>
    <row r="12" spans="1:30" x14ac:dyDescent="0.35">
      <c r="A12" s="10" t="s">
        <v>27</v>
      </c>
      <c r="B12" s="6" t="s">
        <v>28</v>
      </c>
      <c r="C12" s="23">
        <v>2102.1754412492805</v>
      </c>
      <c r="D12" s="23">
        <v>2102.1754412492805</v>
      </c>
      <c r="E12" s="23">
        <v>3382.2935930691306</v>
      </c>
      <c r="F12" s="23">
        <v>2961.9321711315638</v>
      </c>
      <c r="G12" s="23">
        <v>4061.6333278908305</v>
      </c>
      <c r="H12" s="23">
        <v>4086.4702088425315</v>
      </c>
      <c r="I12" s="49">
        <f>IFERROR(VLOOKUP($B12,$O$2:$P$55,2,FALSE),"-")</f>
        <v>1780</v>
      </c>
      <c r="J12" s="49">
        <f>IFERROR(VLOOKUP($B12,$R$2:$S$65,2,FALSE),"-")</f>
        <v>2000</v>
      </c>
      <c r="K12" s="49">
        <f>IFERROR(VLOOKUP($B12,$V$2:$W$65,2,FALSE),"-")</f>
        <v>3520</v>
      </c>
      <c r="L12" s="49">
        <f>IFERROR(VLOOKUP($B12,$Z$2:$AA$65,2,FALSE),"-")</f>
        <v>4880</v>
      </c>
      <c r="M12" s="49">
        <f>IFERROR(VLOOKUP($B12,$AC$2:$AD$65,2,FALSE),"-")</f>
        <v>3820</v>
      </c>
      <c r="O12" s="43" t="s">
        <v>55</v>
      </c>
      <c r="P12">
        <v>1674</v>
      </c>
      <c r="R12" s="43" t="s">
        <v>55</v>
      </c>
      <c r="S12">
        <v>3780</v>
      </c>
      <c r="V12" s="43" t="s">
        <v>55</v>
      </c>
      <c r="W12">
        <v>2214</v>
      </c>
      <c r="Z12" s="43" t="s">
        <v>61</v>
      </c>
      <c r="AA12">
        <v>1980</v>
      </c>
      <c r="AC12" s="43" t="s">
        <v>61</v>
      </c>
      <c r="AD12">
        <v>2484</v>
      </c>
    </row>
    <row r="13" spans="1:30" x14ac:dyDescent="0.35">
      <c r="A13" s="10" t="s">
        <v>29</v>
      </c>
      <c r="B13" s="6" t="s">
        <v>30</v>
      </c>
      <c r="C13" s="23" t="s">
        <v>149</v>
      </c>
      <c r="D13" s="23" t="s">
        <v>149</v>
      </c>
      <c r="E13" s="23">
        <v>285.08771929824553</v>
      </c>
      <c r="F13" s="23">
        <v>250.55066079295142</v>
      </c>
      <c r="G13" s="23">
        <v>428.48641142630549</v>
      </c>
      <c r="H13" s="23">
        <v>511.05631331624534</v>
      </c>
      <c r="I13" s="49">
        <f>IFERROR(VLOOKUP($B13,$O$2:$P$55,2,FALSE),"-")</f>
        <v>20</v>
      </c>
      <c r="J13" s="49">
        <f>IFERROR(VLOOKUP($B13,$R$2:$S$65,2,FALSE),"-")</f>
        <v>740</v>
      </c>
      <c r="K13" s="49">
        <f>IFERROR(VLOOKUP($B13,$V$2:$W$65,2,FALSE),"-")</f>
        <v>500</v>
      </c>
      <c r="L13" s="49">
        <f>IFERROR(VLOOKUP($B13,$Z$2:$AA$65,2,FALSE),"-")</f>
        <v>184</v>
      </c>
      <c r="M13" s="49">
        <f>IFERROR(VLOOKUP($B13,$AC$2:$AD$65,2,FALSE),"-")</f>
        <v>20</v>
      </c>
      <c r="O13" s="43" t="s">
        <v>61</v>
      </c>
      <c r="P13">
        <v>1080</v>
      </c>
      <c r="R13" s="43" t="s">
        <v>61</v>
      </c>
      <c r="S13">
        <v>2160</v>
      </c>
      <c r="V13" s="43" t="s">
        <v>61</v>
      </c>
      <c r="W13">
        <v>1872</v>
      </c>
      <c r="Z13" s="43" t="s">
        <v>57</v>
      </c>
      <c r="AA13">
        <v>108</v>
      </c>
      <c r="AC13" s="43" t="s">
        <v>57</v>
      </c>
      <c r="AD13">
        <v>324</v>
      </c>
    </row>
    <row r="14" spans="1:30" x14ac:dyDescent="0.35">
      <c r="A14" s="10" t="s">
        <v>31</v>
      </c>
      <c r="B14" s="6" t="s">
        <v>32</v>
      </c>
      <c r="C14" s="23" t="s">
        <v>149</v>
      </c>
      <c r="D14" s="23" t="s">
        <v>149</v>
      </c>
      <c r="E14" s="23">
        <v>466.66666666666663</v>
      </c>
      <c r="F14" s="23">
        <v>104.37017994858606</v>
      </c>
      <c r="G14" s="23">
        <v>380.48401708295648</v>
      </c>
      <c r="H14" s="23">
        <v>388.33253571464917</v>
      </c>
      <c r="I14" s="49">
        <f>IFERROR(VLOOKUP($B14,$O$2:$P$55,2,FALSE),"-")</f>
        <v>20</v>
      </c>
      <c r="J14" s="49">
        <f>IFERROR(VLOOKUP($B14,$R$2:$S$65,2,FALSE),"-")</f>
        <v>419</v>
      </c>
      <c r="K14" s="49">
        <f>IFERROR(VLOOKUP($B14,$V$2:$W$65,2,FALSE),"-")</f>
        <v>360</v>
      </c>
      <c r="L14" s="49">
        <f>IFERROR(VLOOKUP($B14,$Z$2:$AA$65,2,FALSE),"-")</f>
        <v>424</v>
      </c>
      <c r="M14" s="49">
        <f>IFERROR(VLOOKUP($B14,$AC$2:$AD$65,2,FALSE),"-")</f>
        <v>40</v>
      </c>
      <c r="O14" s="43" t="s">
        <v>57</v>
      </c>
      <c r="P14">
        <v>486</v>
      </c>
      <c r="R14" s="43" t="s">
        <v>57</v>
      </c>
      <c r="S14">
        <v>702</v>
      </c>
      <c r="V14" s="43" t="s">
        <v>57</v>
      </c>
      <c r="W14">
        <v>1026</v>
      </c>
      <c r="Z14" s="43" t="s">
        <v>168</v>
      </c>
      <c r="AC14" s="43" t="s">
        <v>168</v>
      </c>
      <c r="AD14">
        <v>160</v>
      </c>
    </row>
    <row r="15" spans="1:30" x14ac:dyDescent="0.35">
      <c r="A15" s="10" t="s">
        <v>33</v>
      </c>
      <c r="B15" s="8" t="s">
        <v>34</v>
      </c>
      <c r="C15" s="23">
        <v>361.833098641915</v>
      </c>
      <c r="D15" s="23">
        <v>361.833098641915</v>
      </c>
      <c r="E15" s="23">
        <v>636.03007045124343</v>
      </c>
      <c r="F15" s="23">
        <v>516.69944470152689</v>
      </c>
      <c r="G15" s="23">
        <v>998.69327198544124</v>
      </c>
      <c r="H15" s="23">
        <v>585.46139201487392</v>
      </c>
      <c r="I15" s="49">
        <f>IFERROR(VLOOKUP($B15,$O$2:$P$55,2,FALSE),"-")</f>
        <v>180</v>
      </c>
      <c r="J15" s="49">
        <f>IFERROR(VLOOKUP($B15,$R$2:$S$65,2,FALSE),"-")</f>
        <v>420</v>
      </c>
      <c r="K15" s="49">
        <f>IFERROR(VLOOKUP($B15,$V$2:$W$65,2,FALSE),"-")</f>
        <v>960</v>
      </c>
      <c r="L15" s="49">
        <f>IFERROR(VLOOKUP($B15,$Z$2:$AA$65,2,FALSE),"-")</f>
        <v>720</v>
      </c>
      <c r="M15" s="49">
        <f>IFERROR(VLOOKUP($B15,$AC$2:$AD$65,2,FALSE),"-")</f>
        <v>180</v>
      </c>
      <c r="O15" s="43" t="s">
        <v>112</v>
      </c>
      <c r="P15">
        <v>270</v>
      </c>
      <c r="R15" s="43" t="s">
        <v>112</v>
      </c>
      <c r="S15">
        <v>360</v>
      </c>
      <c r="V15" s="43" t="s">
        <v>112</v>
      </c>
      <c r="W15">
        <v>149</v>
      </c>
      <c r="Z15" s="43" t="s">
        <v>112</v>
      </c>
      <c r="AA15">
        <v>237</v>
      </c>
      <c r="AC15" s="43" t="s">
        <v>112</v>
      </c>
      <c r="AD15">
        <v>344</v>
      </c>
    </row>
    <row r="16" spans="1:30" x14ac:dyDescent="0.35">
      <c r="A16" s="10" t="s">
        <v>35</v>
      </c>
      <c r="B16" s="8" t="s">
        <v>36</v>
      </c>
      <c r="C16" s="23">
        <v>317.41286656666335</v>
      </c>
      <c r="D16" s="23">
        <v>317.41286656666335</v>
      </c>
      <c r="E16" s="23">
        <v>547.84483463706499</v>
      </c>
      <c r="F16" s="23">
        <v>373.59684479694869</v>
      </c>
      <c r="G16" s="23">
        <v>713.50292445901778</v>
      </c>
      <c r="H16" s="23">
        <v>471.0597988674927</v>
      </c>
      <c r="I16" s="49">
        <f>IFERROR(VLOOKUP($B16,$O$2:$P$55,2,FALSE),"-")</f>
        <v>180</v>
      </c>
      <c r="J16" s="49">
        <f>IFERROR(VLOOKUP($B16,$R$2:$S$65,2,FALSE),"-")</f>
        <v>480</v>
      </c>
      <c r="K16" s="49">
        <f>IFERROR(VLOOKUP($B16,$V$2:$W$65,2,FALSE),"-")</f>
        <v>720</v>
      </c>
      <c r="L16" s="49">
        <f>IFERROR(VLOOKUP($B16,$Z$2:$AA$65,2,FALSE),"-")</f>
        <v>540</v>
      </c>
      <c r="M16" s="49">
        <f>IFERROR(VLOOKUP($B16,$AC$2:$AD$65,2,FALSE),"-")</f>
        <v>180</v>
      </c>
      <c r="O16" s="43" t="s">
        <v>63</v>
      </c>
      <c r="P16">
        <v>336</v>
      </c>
      <c r="R16" s="43" t="s">
        <v>63</v>
      </c>
      <c r="S16">
        <v>336</v>
      </c>
      <c r="V16" s="43" t="s">
        <v>63</v>
      </c>
      <c r="W16">
        <v>336</v>
      </c>
      <c r="Z16" s="43" t="s">
        <v>63</v>
      </c>
      <c r="AA16">
        <v>168</v>
      </c>
      <c r="AC16" s="43" t="s">
        <v>63</v>
      </c>
      <c r="AD16">
        <v>504</v>
      </c>
    </row>
    <row r="17" spans="1:30" x14ac:dyDescent="0.35">
      <c r="A17" s="10" t="s">
        <v>37</v>
      </c>
      <c r="B17" s="6" t="s">
        <v>38</v>
      </c>
      <c r="C17" s="23">
        <v>1869.9361858190161</v>
      </c>
      <c r="D17" s="23">
        <v>1869.9361858190161</v>
      </c>
      <c r="E17" s="23">
        <v>1683.6635489121666</v>
      </c>
      <c r="F17" s="23">
        <v>1830.0148007223324</v>
      </c>
      <c r="G17" s="23">
        <v>2541.8685344196874</v>
      </c>
      <c r="H17" s="23">
        <v>2509.7997946254177</v>
      </c>
      <c r="I17" s="49">
        <f>IFERROR(VLOOKUP($B17,$O$2:$P$55,2,FALSE),"-")</f>
        <v>1536</v>
      </c>
      <c r="J17" s="49">
        <f>IFERROR(VLOOKUP($B17,$R$2:$S$65,2,FALSE),"-")</f>
        <v>3136</v>
      </c>
      <c r="K17" s="49">
        <f>IFERROR(VLOOKUP($B17,$V$2:$W$65,2,FALSE),"-")</f>
        <v>3200</v>
      </c>
      <c r="L17" s="49">
        <f>IFERROR(VLOOKUP($B17,$Z$2:$AA$65,2,FALSE),"-")</f>
        <v>2112</v>
      </c>
      <c r="M17" s="49">
        <f>IFERROR(VLOOKUP($B17,$AC$2:$AD$65,2,FALSE),"-")</f>
        <v>3264</v>
      </c>
      <c r="O17" s="43" t="s">
        <v>65</v>
      </c>
      <c r="P17">
        <v>96</v>
      </c>
      <c r="R17" s="43" t="s">
        <v>45</v>
      </c>
      <c r="S17">
        <v>10368</v>
      </c>
      <c r="V17" s="43" t="s">
        <v>65</v>
      </c>
      <c r="W17">
        <v>24</v>
      </c>
      <c r="Z17" s="43" t="s">
        <v>141</v>
      </c>
      <c r="AA17">
        <v>168</v>
      </c>
      <c r="AC17" s="43" t="s">
        <v>141</v>
      </c>
      <c r="AD17">
        <v>24</v>
      </c>
    </row>
    <row r="18" spans="1:30" x14ac:dyDescent="0.35">
      <c r="A18" s="5" t="s">
        <v>39</v>
      </c>
      <c r="B18" s="6" t="s">
        <v>40</v>
      </c>
      <c r="C18" s="23">
        <v>39.156330991629588</v>
      </c>
      <c r="D18" s="23">
        <v>39.156330991629588</v>
      </c>
      <c r="E18" s="23">
        <v>210.64677599947308</v>
      </c>
      <c r="F18" s="23">
        <v>155.76102418207677</v>
      </c>
      <c r="G18" s="23">
        <v>110.68546650202462</v>
      </c>
      <c r="H18" s="23">
        <v>102.5105058365759</v>
      </c>
      <c r="I18" s="49">
        <f>IFERROR(VLOOKUP($B18,$O$2:$P$55,2,FALSE),"-")</f>
        <v>80</v>
      </c>
      <c r="J18" s="49">
        <f>IFERROR(VLOOKUP($B18,$R$2:$S$65,2,FALSE),"-")</f>
        <v>200</v>
      </c>
      <c r="K18" s="49">
        <f>IFERROR(VLOOKUP($B18,$V$2:$W$65,2,FALSE),"-")</f>
        <v>280</v>
      </c>
      <c r="L18" s="49">
        <f>IFERROR(VLOOKUP($B18,$Z$2:$AA$65,2,FALSE),"-")</f>
        <v>180</v>
      </c>
      <c r="M18" s="49">
        <f>IFERROR(VLOOKUP($B18,$AC$2:$AD$65,2,FALSE),"-")</f>
        <v>300</v>
      </c>
      <c r="O18" s="43" t="s">
        <v>45</v>
      </c>
      <c r="P18">
        <v>2592</v>
      </c>
      <c r="R18" s="43" t="s">
        <v>49</v>
      </c>
      <c r="S18">
        <v>4512</v>
      </c>
      <c r="V18" s="43" t="s">
        <v>45</v>
      </c>
      <c r="W18">
        <v>5952</v>
      </c>
      <c r="Z18" s="43" t="s">
        <v>65</v>
      </c>
      <c r="AA18">
        <v>120</v>
      </c>
      <c r="AC18" s="43" t="s">
        <v>45</v>
      </c>
      <c r="AD18">
        <v>7776</v>
      </c>
    </row>
    <row r="19" spans="1:30" x14ac:dyDescent="0.35">
      <c r="A19" s="7" t="s">
        <v>41</v>
      </c>
      <c r="B19" s="8" t="s">
        <v>42</v>
      </c>
      <c r="C19" s="23">
        <v>152.61215588828463</v>
      </c>
      <c r="D19" s="23">
        <v>152.61215588828463</v>
      </c>
      <c r="E19" s="23">
        <v>215.76089632000162</v>
      </c>
      <c r="F19" s="23">
        <v>284.53744586224246</v>
      </c>
      <c r="G19" s="23">
        <v>358.90386218526078</v>
      </c>
      <c r="H19" s="23">
        <v>515.55113642402011</v>
      </c>
      <c r="I19" s="49">
        <f>IFERROR(VLOOKUP($B19,$O$2:$P$55,2,FALSE),"-")</f>
        <v>128</v>
      </c>
      <c r="J19" s="49">
        <f>IFERROR(VLOOKUP($B19,$R$2:$S$65,2,FALSE),"-")</f>
        <v>160</v>
      </c>
      <c r="K19" s="49">
        <f>IFERROR(VLOOKUP($B19,$V$2:$W$65,2,FALSE),"-")</f>
        <v>544</v>
      </c>
      <c r="L19" s="49">
        <f>IFERROR(VLOOKUP($B19,$Z$2:$AA$65,2,FALSE),"-")</f>
        <v>704</v>
      </c>
      <c r="M19" s="49">
        <f>IFERROR(VLOOKUP($B19,$AC$2:$AD$65,2,FALSE),"-")</f>
        <v>128</v>
      </c>
      <c r="O19" s="43" t="s">
        <v>49</v>
      </c>
      <c r="P19">
        <v>1344</v>
      </c>
      <c r="R19" s="43" t="s">
        <v>59</v>
      </c>
      <c r="S19">
        <v>792</v>
      </c>
      <c r="V19" s="43" t="s">
        <v>49</v>
      </c>
      <c r="W19">
        <v>4704</v>
      </c>
      <c r="Z19" s="43" t="s">
        <v>45</v>
      </c>
      <c r="AA19">
        <v>4608</v>
      </c>
      <c r="AC19" s="43" t="s">
        <v>49</v>
      </c>
      <c r="AD19">
        <v>4896</v>
      </c>
    </row>
    <row r="20" spans="1:30" x14ac:dyDescent="0.35">
      <c r="A20" s="3" t="s">
        <v>43</v>
      </c>
      <c r="B20" s="4"/>
      <c r="C20" s="4"/>
      <c r="D20" s="4"/>
      <c r="E20" s="4"/>
      <c r="F20" s="4"/>
      <c r="G20" s="4"/>
      <c r="H20" s="24"/>
      <c r="I20" s="4"/>
      <c r="J20" s="4"/>
      <c r="K20" s="4"/>
      <c r="L20" s="4"/>
      <c r="M20" s="4"/>
      <c r="O20" s="43" t="s">
        <v>59</v>
      </c>
      <c r="P20">
        <v>576</v>
      </c>
      <c r="R20" s="43" t="s">
        <v>76</v>
      </c>
      <c r="S20">
        <v>200</v>
      </c>
      <c r="V20" s="43" t="s">
        <v>59</v>
      </c>
      <c r="W20">
        <v>1008</v>
      </c>
      <c r="Z20" s="43" t="s">
        <v>49</v>
      </c>
      <c r="AA20">
        <v>3840</v>
      </c>
      <c r="AC20" s="43" t="s">
        <v>59</v>
      </c>
      <c r="AD20">
        <v>816</v>
      </c>
    </row>
    <row r="21" spans="1:30" x14ac:dyDescent="0.35">
      <c r="A21" s="5" t="s">
        <v>44</v>
      </c>
      <c r="B21" s="6" t="s">
        <v>45</v>
      </c>
      <c r="C21" s="23">
        <v>4054.63437255799</v>
      </c>
      <c r="D21" s="23">
        <v>4054.63437255799</v>
      </c>
      <c r="E21" s="23">
        <v>4278.9154615307534</v>
      </c>
      <c r="F21" s="23">
        <v>3624.8099738916653</v>
      </c>
      <c r="G21" s="23">
        <v>4909.5191983860677</v>
      </c>
      <c r="H21" s="23">
        <v>4916.3904655633896</v>
      </c>
      <c r="I21" s="49">
        <f>IFERROR(VLOOKUP($B21,$O$2:$P$55,2,FALSE),"-")</f>
        <v>2592</v>
      </c>
      <c r="J21" s="49">
        <f>IFERROR(VLOOKUP($B21,$R$2:$S$65,2,FALSE),"-")</f>
        <v>10368</v>
      </c>
      <c r="K21" s="49">
        <f>IFERROR(VLOOKUP($B21,$V$2:$W$65,2,FALSE),"-")</f>
        <v>5952</v>
      </c>
      <c r="L21" s="49">
        <f>IFERROR(VLOOKUP($B21,$Z$2:$AA$65,2,FALSE),"-")</f>
        <v>4608</v>
      </c>
      <c r="M21" s="49">
        <f>IFERROR(VLOOKUP($B21,$AC$2:$AD$65,2,FALSE),"-")</f>
        <v>7776</v>
      </c>
      <c r="O21" s="43" t="s">
        <v>76</v>
      </c>
      <c r="P21">
        <v>120</v>
      </c>
      <c r="R21" s="43" t="s">
        <v>80</v>
      </c>
      <c r="S21">
        <v>20</v>
      </c>
      <c r="V21" s="43" t="s">
        <v>76</v>
      </c>
      <c r="W21">
        <v>190</v>
      </c>
      <c r="Z21" s="43" t="s">
        <v>59</v>
      </c>
      <c r="AA21">
        <v>288</v>
      </c>
      <c r="AC21" s="43" t="s">
        <v>76</v>
      </c>
      <c r="AD21">
        <v>200</v>
      </c>
    </row>
    <row r="22" spans="1:30" x14ac:dyDescent="0.35">
      <c r="A22" s="5" t="s">
        <v>46</v>
      </c>
      <c r="B22" s="6" t="s">
        <v>47</v>
      </c>
      <c r="C22" s="23" t="s">
        <v>149</v>
      </c>
      <c r="D22" s="23" t="s">
        <v>149</v>
      </c>
      <c r="E22" s="23">
        <v>121.82741116751264</v>
      </c>
      <c r="F22" s="23">
        <v>83.682008368200897</v>
      </c>
      <c r="G22" s="23">
        <v>160</v>
      </c>
      <c r="H22" s="23">
        <v>167.57493188010915</v>
      </c>
      <c r="I22" s="49" t="str">
        <f>IFERROR(VLOOKUP($B22,$O$2:$P$55,2,FALSE),"-")</f>
        <v>-</v>
      </c>
      <c r="J22" s="49" t="str">
        <f>IFERROR(VLOOKUP($B22,$R$2:$S$65,2,FALSE),"-")</f>
        <v>-</v>
      </c>
      <c r="K22" s="49" t="str">
        <f>IFERROR(VLOOKUP($B22,$V$2:$W$65,2,FALSE),"-")</f>
        <v>-</v>
      </c>
      <c r="L22" s="49" t="str">
        <f>IFERROR(VLOOKUP($B22,$Z$2:$AA$65,2,FALSE),"-")</f>
        <v>-</v>
      </c>
      <c r="M22" s="49" t="str">
        <f>IFERROR(VLOOKUP($B22,$AC$2:$AD$65,2,FALSE),"-")</f>
        <v>-</v>
      </c>
      <c r="O22" s="43" t="s">
        <v>82</v>
      </c>
      <c r="P22">
        <v>160</v>
      </c>
      <c r="R22" s="43" t="s">
        <v>82</v>
      </c>
      <c r="S22">
        <v>120</v>
      </c>
      <c r="V22" s="43" t="s">
        <v>82</v>
      </c>
      <c r="W22">
        <v>120</v>
      </c>
      <c r="Z22" s="43" t="s">
        <v>76</v>
      </c>
      <c r="AA22">
        <v>120</v>
      </c>
      <c r="AC22" s="43" t="s">
        <v>82</v>
      </c>
      <c r="AD22">
        <v>160</v>
      </c>
    </row>
    <row r="23" spans="1:30" x14ac:dyDescent="0.35">
      <c r="A23" s="10" t="s">
        <v>48</v>
      </c>
      <c r="B23" s="6" t="s">
        <v>49</v>
      </c>
      <c r="C23" s="23">
        <v>1783.9144216014022</v>
      </c>
      <c r="D23" s="23">
        <v>1783.9144216014022</v>
      </c>
      <c r="E23" s="23">
        <v>2844.8559951323068</v>
      </c>
      <c r="F23" s="23">
        <v>2128.5826219708815</v>
      </c>
      <c r="G23" s="23">
        <v>4027.4910498796521</v>
      </c>
      <c r="H23" s="23">
        <v>3127.0974409437845</v>
      </c>
      <c r="I23" s="49">
        <f>IFERROR(VLOOKUP($B23,$O$2:$P$55,2,FALSE),"-")</f>
        <v>1344</v>
      </c>
      <c r="J23" s="49">
        <f>IFERROR(VLOOKUP($B23,$R$2:$S$65,2,FALSE),"-")</f>
        <v>4512</v>
      </c>
      <c r="K23" s="49">
        <f>IFERROR(VLOOKUP($B23,$V$2:$W$65,2,FALSE),"-")</f>
        <v>4704</v>
      </c>
      <c r="L23" s="49">
        <f>IFERROR(VLOOKUP($B23,$Z$2:$AA$65,2,FALSE),"-")</f>
        <v>3840</v>
      </c>
      <c r="M23" s="49">
        <f>IFERROR(VLOOKUP($B23,$AC$2:$AD$65,2,FALSE),"-")</f>
        <v>4896</v>
      </c>
      <c r="O23" s="43" t="s">
        <v>74</v>
      </c>
      <c r="P23">
        <v>80</v>
      </c>
      <c r="R23" s="43" t="s">
        <v>74</v>
      </c>
      <c r="S23">
        <v>180</v>
      </c>
      <c r="V23" s="43" t="s">
        <v>74</v>
      </c>
      <c r="W23">
        <v>390</v>
      </c>
      <c r="Z23" s="43" t="s">
        <v>82</v>
      </c>
      <c r="AA23">
        <v>160</v>
      </c>
      <c r="AC23" s="43" t="s">
        <v>74</v>
      </c>
      <c r="AD23">
        <v>120</v>
      </c>
    </row>
    <row r="24" spans="1:30" x14ac:dyDescent="0.35">
      <c r="A24" s="5" t="s">
        <v>50</v>
      </c>
      <c r="B24" s="6" t="s">
        <v>51</v>
      </c>
      <c r="C24" s="23">
        <v>6696.1514133152232</v>
      </c>
      <c r="D24" s="23">
        <v>6696.1514133152232</v>
      </c>
      <c r="E24" s="23">
        <v>8807.2501076068056</v>
      </c>
      <c r="F24" s="23">
        <v>8432.6157932444276</v>
      </c>
      <c r="G24" s="23">
        <v>13209.214571788903</v>
      </c>
      <c r="H24" s="23">
        <v>13200.026418164636</v>
      </c>
      <c r="I24" s="49">
        <f>IFERROR(VLOOKUP($B24,$O$2:$P$55,2,FALSE),"-")</f>
        <v>4032</v>
      </c>
      <c r="J24" s="49">
        <f>IFERROR(VLOOKUP($B24,$R$2:$S$65,2,FALSE),"-")</f>
        <v>8496</v>
      </c>
      <c r="K24" s="49">
        <f>IFERROR(VLOOKUP($B24,$V$2:$W$65,2,FALSE),"-")</f>
        <v>11088</v>
      </c>
      <c r="L24" s="49">
        <f>IFERROR(VLOOKUP($B24,$Z$2:$AA$65,2,FALSE),"-")</f>
        <v>13968</v>
      </c>
      <c r="M24" s="49">
        <f>IFERROR(VLOOKUP($B24,$AC$2:$AD$65,2,FALSE),"-")</f>
        <v>13536</v>
      </c>
      <c r="O24" s="43" t="s">
        <v>84</v>
      </c>
      <c r="P24">
        <v>30</v>
      </c>
      <c r="R24" s="43" t="s">
        <v>91</v>
      </c>
      <c r="S24">
        <v>576</v>
      </c>
      <c r="V24" s="43" t="s">
        <v>84</v>
      </c>
      <c r="W24">
        <v>30</v>
      </c>
      <c r="Z24" s="43" t="s">
        <v>74</v>
      </c>
      <c r="AA24">
        <v>120</v>
      </c>
      <c r="AC24" s="43" t="s">
        <v>91</v>
      </c>
      <c r="AD24">
        <v>624</v>
      </c>
    </row>
    <row r="25" spans="1:30" x14ac:dyDescent="0.35">
      <c r="A25" s="5" t="s">
        <v>52</v>
      </c>
      <c r="B25" s="6" t="s">
        <v>53</v>
      </c>
      <c r="C25" s="23">
        <v>384.41841035515813</v>
      </c>
      <c r="D25" s="23">
        <v>384.41841035515813</v>
      </c>
      <c r="E25" s="23">
        <v>448.67968010779634</v>
      </c>
      <c r="F25" s="23">
        <v>440.53763997173058</v>
      </c>
      <c r="G25" s="23">
        <v>504.35117610499498</v>
      </c>
      <c r="H25" s="23">
        <v>750.78864353312269</v>
      </c>
      <c r="I25" s="49">
        <f>IFERROR(VLOOKUP($B25,$O$2:$P$55,2,FALSE),"-")</f>
        <v>280</v>
      </c>
      <c r="J25" s="49">
        <f>IFERROR(VLOOKUP($B25,$R$2:$S$65,2,FALSE),"-")</f>
        <v>392</v>
      </c>
      <c r="K25" s="49">
        <f>IFERROR(VLOOKUP($B25,$V$2:$W$65,2,FALSE),"-")</f>
        <v>336</v>
      </c>
      <c r="L25" s="49">
        <f>IFERROR(VLOOKUP($B25,$Z$2:$AA$65,2,FALSE),"-")</f>
        <v>504</v>
      </c>
      <c r="M25" s="49">
        <f>IFERROR(VLOOKUP($B25,$AC$2:$AD$65,2,FALSE),"-")</f>
        <v>616</v>
      </c>
      <c r="O25" s="43" t="s">
        <v>91</v>
      </c>
      <c r="P25">
        <v>336</v>
      </c>
      <c r="R25" s="43" t="s">
        <v>97</v>
      </c>
      <c r="S25">
        <v>336</v>
      </c>
      <c r="V25" s="43" t="s">
        <v>91</v>
      </c>
      <c r="W25">
        <v>576</v>
      </c>
      <c r="Z25" s="43" t="s">
        <v>84</v>
      </c>
      <c r="AA25">
        <v>40</v>
      </c>
      <c r="AC25" s="43" t="s">
        <v>97</v>
      </c>
      <c r="AD25">
        <v>240</v>
      </c>
    </row>
    <row r="26" spans="1:30" x14ac:dyDescent="0.35">
      <c r="A26" s="10" t="s">
        <v>54</v>
      </c>
      <c r="B26" s="6" t="s">
        <v>55</v>
      </c>
      <c r="C26" s="23">
        <v>2073.7746385333303</v>
      </c>
      <c r="D26" s="23">
        <v>2073.7746385333303</v>
      </c>
      <c r="E26" s="23">
        <v>1644.2923967362317</v>
      </c>
      <c r="F26" s="23">
        <v>1511.2585114662361</v>
      </c>
      <c r="G26" s="23">
        <v>939.8105189117814</v>
      </c>
      <c r="H26" s="23">
        <v>786.44722185412456</v>
      </c>
      <c r="I26" s="49">
        <f>IFERROR(VLOOKUP($B26,$O$2:$P$55,2,FALSE),"-")</f>
        <v>1674</v>
      </c>
      <c r="J26" s="49">
        <f>IFERROR(VLOOKUP($B26,$R$2:$S$65,2,FALSE),"-")</f>
        <v>3780</v>
      </c>
      <c r="K26" s="49">
        <f>IFERROR(VLOOKUP($B26,$V$2:$W$65,2,FALSE),"-")</f>
        <v>2214</v>
      </c>
      <c r="L26" s="49">
        <f>IFERROR(VLOOKUP($B26,$Z$2:$AA$65,2,FALSE),"-")</f>
        <v>540</v>
      </c>
      <c r="M26" s="49">
        <f>IFERROR(VLOOKUP($B26,$AC$2:$AD$65,2,FALSE),"-")</f>
        <v>486</v>
      </c>
      <c r="O26" s="43" t="s">
        <v>97</v>
      </c>
      <c r="P26">
        <v>384</v>
      </c>
      <c r="R26" s="43" t="s">
        <v>93</v>
      </c>
      <c r="S26">
        <v>288</v>
      </c>
      <c r="V26" s="43" t="s">
        <v>97</v>
      </c>
      <c r="W26">
        <v>192</v>
      </c>
      <c r="Z26" s="43" t="s">
        <v>91</v>
      </c>
      <c r="AA26">
        <v>432</v>
      </c>
      <c r="AC26" s="43" t="s">
        <v>93</v>
      </c>
      <c r="AD26">
        <v>672</v>
      </c>
    </row>
    <row r="27" spans="1:30" x14ac:dyDescent="0.35">
      <c r="A27" s="10" t="s">
        <v>56</v>
      </c>
      <c r="B27" s="11" t="s">
        <v>57</v>
      </c>
      <c r="C27" s="23">
        <v>599.06763877063599</v>
      </c>
      <c r="D27" s="23">
        <v>599.06763877063599</v>
      </c>
      <c r="E27" s="23">
        <v>664.52457232226368</v>
      </c>
      <c r="F27" s="23">
        <v>650.50230715063458</v>
      </c>
      <c r="G27" s="23">
        <v>860.22760352261264</v>
      </c>
      <c r="H27" s="23">
        <v>708.3706666676768</v>
      </c>
      <c r="I27" s="49">
        <f>IFERROR(VLOOKUP($B27,$O$2:$P$55,2,FALSE),"-")</f>
        <v>486</v>
      </c>
      <c r="J27" s="49">
        <f>IFERROR(VLOOKUP($B27,$R$2:$S$65,2,FALSE),"-")</f>
        <v>702</v>
      </c>
      <c r="K27" s="49">
        <f>IFERROR(VLOOKUP($B27,$V$2:$W$65,2,FALSE),"-")</f>
        <v>1026</v>
      </c>
      <c r="L27" s="49">
        <f>IFERROR(VLOOKUP($B27,$Z$2:$AA$65,2,FALSE),"-")</f>
        <v>108</v>
      </c>
      <c r="M27" s="49">
        <f>IFERROR(VLOOKUP($B27,$AC$2:$AD$65,2,FALSE),"-")</f>
        <v>324</v>
      </c>
      <c r="O27" s="43" t="s">
        <v>93</v>
      </c>
      <c r="P27">
        <v>192</v>
      </c>
      <c r="R27" s="43" t="s">
        <v>99</v>
      </c>
      <c r="S27">
        <v>192</v>
      </c>
      <c r="V27" s="43" t="s">
        <v>93</v>
      </c>
      <c r="W27">
        <v>384</v>
      </c>
      <c r="Z27" s="43" t="s">
        <v>97</v>
      </c>
      <c r="AA27">
        <v>144</v>
      </c>
      <c r="AC27" s="43" t="s">
        <v>99</v>
      </c>
      <c r="AD27">
        <v>144</v>
      </c>
    </row>
    <row r="28" spans="1:30" x14ac:dyDescent="0.35">
      <c r="A28" s="10" t="s">
        <v>58</v>
      </c>
      <c r="B28" s="11" t="s">
        <v>59</v>
      </c>
      <c r="C28" s="23">
        <v>694.09097796080891</v>
      </c>
      <c r="D28" s="23">
        <v>694.09097796080891</v>
      </c>
      <c r="E28" s="23">
        <v>837.45898770822544</v>
      </c>
      <c r="F28" s="23">
        <v>791.93212677070278</v>
      </c>
      <c r="G28" s="23">
        <v>893.72337284346395</v>
      </c>
      <c r="H28" s="23">
        <v>919.55250277629239</v>
      </c>
      <c r="I28" s="49">
        <f>IFERROR(VLOOKUP($B28,$O$2:$P$55,2,FALSE),"-")</f>
        <v>576</v>
      </c>
      <c r="J28" s="49">
        <f>IFERROR(VLOOKUP($B28,$R$2:$S$65,2,FALSE),"-")</f>
        <v>792</v>
      </c>
      <c r="K28" s="49">
        <f>IFERROR(VLOOKUP($B28,$V$2:$W$65,2,FALSE),"-")</f>
        <v>1008</v>
      </c>
      <c r="L28" s="49">
        <f>IFERROR(VLOOKUP($B28,$Z$2:$AA$65,2,FALSE),"-")</f>
        <v>288</v>
      </c>
      <c r="M28" s="49">
        <f>IFERROR(VLOOKUP($B28,$AC$2:$AD$65,2,FALSE),"-")</f>
        <v>816</v>
      </c>
      <c r="O28" s="43" t="s">
        <v>99</v>
      </c>
      <c r="P28">
        <v>48</v>
      </c>
      <c r="R28" s="43" t="s">
        <v>95</v>
      </c>
      <c r="S28">
        <v>240</v>
      </c>
      <c r="V28" s="43" t="s">
        <v>99</v>
      </c>
      <c r="W28">
        <v>336</v>
      </c>
      <c r="Z28" s="43" t="s">
        <v>93</v>
      </c>
      <c r="AA28">
        <v>336</v>
      </c>
      <c r="AC28" s="43" t="s">
        <v>95</v>
      </c>
      <c r="AD28">
        <v>240</v>
      </c>
    </row>
    <row r="29" spans="1:30" x14ac:dyDescent="0.35">
      <c r="A29" s="10" t="s">
        <v>60</v>
      </c>
      <c r="B29" s="11" t="s">
        <v>61</v>
      </c>
      <c r="C29" s="23">
        <v>1649.5317977369568</v>
      </c>
      <c r="D29" s="23">
        <v>1649.5317977369568</v>
      </c>
      <c r="E29" s="23">
        <v>1645.0427302379098</v>
      </c>
      <c r="F29" s="23">
        <v>2271.2267396174625</v>
      </c>
      <c r="G29" s="23">
        <v>2799.6242456775271</v>
      </c>
      <c r="H29" s="23">
        <v>4125.388673190625</v>
      </c>
      <c r="I29" s="49">
        <f>IFERROR(VLOOKUP($B29,$O$2:$P$55,2,FALSE),"-")</f>
        <v>1080</v>
      </c>
      <c r="J29" s="49">
        <f>IFERROR(VLOOKUP($B29,$R$2:$S$65,2,FALSE),"-")</f>
        <v>2160</v>
      </c>
      <c r="K29" s="49">
        <f>IFERROR(VLOOKUP($B29,$V$2:$W$65,2,FALSE),"-")</f>
        <v>1872</v>
      </c>
      <c r="L29" s="49">
        <f>IFERROR(VLOOKUP($B29,$Z$2:$AA$65,2,FALSE),"-")</f>
        <v>1980</v>
      </c>
      <c r="M29" s="49">
        <f>IFERROR(VLOOKUP($B29,$AC$2:$AD$65,2,FALSE),"-")</f>
        <v>2484</v>
      </c>
      <c r="O29" s="43" t="s">
        <v>95</v>
      </c>
      <c r="P29">
        <v>240</v>
      </c>
      <c r="R29" s="43" t="s">
        <v>101</v>
      </c>
      <c r="S29">
        <v>1008</v>
      </c>
      <c r="V29" s="43" t="s">
        <v>95</v>
      </c>
      <c r="W29">
        <v>288</v>
      </c>
      <c r="Z29" s="43" t="s">
        <v>99</v>
      </c>
      <c r="AA29">
        <v>240</v>
      </c>
      <c r="AC29" s="43" t="s">
        <v>101</v>
      </c>
      <c r="AD29">
        <v>792</v>
      </c>
    </row>
    <row r="30" spans="1:30" x14ac:dyDescent="0.35">
      <c r="A30" s="10" t="s">
        <v>62</v>
      </c>
      <c r="B30" s="6" t="s">
        <v>63</v>
      </c>
      <c r="C30" s="23">
        <v>331.32294687883467</v>
      </c>
      <c r="D30" s="23">
        <v>331.32294687883467</v>
      </c>
      <c r="E30" s="23">
        <v>431.68207129043867</v>
      </c>
      <c r="F30" s="23">
        <v>344.83402272239715</v>
      </c>
      <c r="G30" s="23">
        <v>428.41704628405108</v>
      </c>
      <c r="H30" s="23">
        <v>346.37992839297812</v>
      </c>
      <c r="I30" s="49">
        <f>IFERROR(VLOOKUP($B30,$O$2:$P$55,2,FALSE),"-")</f>
        <v>336</v>
      </c>
      <c r="J30" s="49">
        <f>IFERROR(VLOOKUP($B30,$R$2:$S$65,2,FALSE),"-")</f>
        <v>336</v>
      </c>
      <c r="K30" s="49">
        <f>IFERROR(VLOOKUP($B30,$V$2:$W$65,2,FALSE),"-")</f>
        <v>336</v>
      </c>
      <c r="L30" s="49">
        <f>IFERROR(VLOOKUP($B30,$Z$2:$AA$65,2,FALSE),"-")</f>
        <v>168</v>
      </c>
      <c r="M30" s="49">
        <f>IFERROR(VLOOKUP($B30,$AC$2:$AD$65,2,FALSE),"-")</f>
        <v>504</v>
      </c>
      <c r="O30" s="43" t="s">
        <v>101</v>
      </c>
      <c r="P30">
        <v>1212</v>
      </c>
      <c r="R30" s="43" t="s">
        <v>20</v>
      </c>
      <c r="S30">
        <v>3384</v>
      </c>
      <c r="V30" s="43" t="s">
        <v>101</v>
      </c>
      <c r="W30">
        <v>1368</v>
      </c>
      <c r="Z30" s="43" t="s">
        <v>95</v>
      </c>
      <c r="AA30">
        <v>96</v>
      </c>
      <c r="AC30" s="43" t="s">
        <v>20</v>
      </c>
      <c r="AD30">
        <v>2592</v>
      </c>
    </row>
    <row r="31" spans="1:30" x14ac:dyDescent="0.35">
      <c r="A31" s="12" t="s">
        <v>64</v>
      </c>
      <c r="B31" s="13" t="s">
        <v>65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49">
        <f>IFERROR(VLOOKUP($B31,$O$2:$P$55,2,FALSE),"-")</f>
        <v>96</v>
      </c>
      <c r="J31" s="49" t="str">
        <f>IFERROR(VLOOKUP($B31,$R$2:$S$65,2,FALSE),"-")</f>
        <v>-</v>
      </c>
      <c r="K31" s="49">
        <f>IFERROR(VLOOKUP($B31,$V$2:$W$65,2,FALSE),"-")</f>
        <v>24</v>
      </c>
      <c r="L31" s="49">
        <f>IFERROR(VLOOKUP($B31,$Z$2:$AA$65,2,FALSE),"-")</f>
        <v>120</v>
      </c>
      <c r="M31" s="49" t="str">
        <f>IFERROR(VLOOKUP($B31,$AC$2:$AD$65,2,FALSE),"-")</f>
        <v>-</v>
      </c>
      <c r="O31" s="43" t="s">
        <v>20</v>
      </c>
      <c r="P31">
        <v>2712</v>
      </c>
      <c r="R31" s="43" t="s">
        <v>24</v>
      </c>
      <c r="S31">
        <v>480</v>
      </c>
      <c r="V31" s="43" t="s">
        <v>20</v>
      </c>
      <c r="W31">
        <v>2736</v>
      </c>
      <c r="Z31" s="43" t="s">
        <v>101</v>
      </c>
      <c r="AA31">
        <v>648</v>
      </c>
      <c r="AC31" s="43" t="s">
        <v>24</v>
      </c>
      <c r="AD31">
        <v>432</v>
      </c>
    </row>
    <row r="32" spans="1:30" x14ac:dyDescent="0.35">
      <c r="A32" s="3" t="s">
        <v>66</v>
      </c>
      <c r="B32" s="14"/>
      <c r="C32" s="14"/>
      <c r="D32" s="14"/>
      <c r="E32" s="14"/>
      <c r="F32" s="14"/>
      <c r="G32" s="14"/>
      <c r="H32" s="18"/>
      <c r="I32" s="4"/>
      <c r="J32" s="4"/>
      <c r="K32" s="4"/>
      <c r="L32" s="4"/>
      <c r="M32" s="4"/>
      <c r="O32" s="43" t="s">
        <v>24</v>
      </c>
      <c r="P32">
        <v>384</v>
      </c>
      <c r="R32" s="43" t="s">
        <v>14</v>
      </c>
      <c r="S32">
        <v>4536</v>
      </c>
      <c r="V32" s="43" t="s">
        <v>24</v>
      </c>
      <c r="W32">
        <v>480</v>
      </c>
      <c r="Z32" s="43" t="s">
        <v>20</v>
      </c>
      <c r="AA32">
        <v>2952</v>
      </c>
      <c r="AC32" s="43" t="s">
        <v>14</v>
      </c>
      <c r="AD32">
        <v>3300</v>
      </c>
    </row>
    <row r="33" spans="1:30" x14ac:dyDescent="0.35">
      <c r="A33" s="10" t="s">
        <v>67</v>
      </c>
      <c r="B33" s="6" t="s">
        <v>68</v>
      </c>
      <c r="C33" s="23">
        <v>5529.2666539608181</v>
      </c>
      <c r="D33" s="23">
        <v>5529.2666539608181</v>
      </c>
      <c r="E33" s="23">
        <v>5138.2701842422994</v>
      </c>
      <c r="F33" s="23">
        <v>8306.8826838064433</v>
      </c>
      <c r="G33" s="23">
        <v>9299.8430740514013</v>
      </c>
      <c r="H33" s="23">
        <v>10144.434634134001</v>
      </c>
      <c r="I33" s="49">
        <f>IFERROR(VLOOKUP($B33,$O$2:$P$55,2,FALSE),"-")</f>
        <v>6240</v>
      </c>
      <c r="J33" s="49">
        <f>IFERROR(VLOOKUP($B33,$R$2:$S$65,2,FALSE),"-")</f>
        <v>10368</v>
      </c>
      <c r="K33" s="49">
        <f>IFERROR(VLOOKUP($B33,$V$2:$W$65,2,FALSE),"-")</f>
        <v>13440</v>
      </c>
      <c r="L33" s="49">
        <f>IFERROR(VLOOKUP($B33,$Z$2:$AA$65,2,FALSE),"-")</f>
        <v>10656</v>
      </c>
      <c r="M33" s="49">
        <f>IFERROR(VLOOKUP($B33,$AC$2:$AD$65,2,FALSE),"-")</f>
        <v>6144</v>
      </c>
      <c r="O33" s="43" t="s">
        <v>14</v>
      </c>
      <c r="P33">
        <v>3096</v>
      </c>
      <c r="R33" s="43" t="s">
        <v>16</v>
      </c>
      <c r="S33">
        <v>5220</v>
      </c>
      <c r="V33" s="43" t="s">
        <v>14</v>
      </c>
      <c r="W33">
        <v>4536</v>
      </c>
      <c r="Z33" s="43" t="s">
        <v>24</v>
      </c>
      <c r="AA33">
        <v>336</v>
      </c>
      <c r="AC33" s="43" t="s">
        <v>169</v>
      </c>
      <c r="AD33">
        <v>96</v>
      </c>
    </row>
    <row r="34" spans="1:30" x14ac:dyDescent="0.35">
      <c r="A34" s="5" t="s">
        <v>69</v>
      </c>
      <c r="B34" s="6" t="s">
        <v>70</v>
      </c>
      <c r="C34" s="23">
        <v>1296.0849307375611</v>
      </c>
      <c r="D34" s="23">
        <v>1296.0849307375611</v>
      </c>
      <c r="E34" s="23">
        <v>2177.2658413956933</v>
      </c>
      <c r="F34" s="23">
        <v>1670.1675102416173</v>
      </c>
      <c r="G34" s="23">
        <v>2290.3178961839644</v>
      </c>
      <c r="H34" s="23">
        <v>2146.3811770564798</v>
      </c>
      <c r="I34" s="49">
        <f>IFERROR(VLOOKUP($B34,$O$2:$P$55,2,FALSE),"-")</f>
        <v>336</v>
      </c>
      <c r="J34" s="49">
        <f>IFERROR(VLOOKUP($B34,$R$2:$S$65,2,FALSE),"-")</f>
        <v>2112</v>
      </c>
      <c r="K34" s="49">
        <f>IFERROR(VLOOKUP($B34,$V$2:$W$65,2,FALSE),"-")</f>
        <v>4560</v>
      </c>
      <c r="L34" s="49">
        <f>IFERROR(VLOOKUP($B34,$Z$2:$AA$65,2,FALSE),"-")</f>
        <v>2352</v>
      </c>
      <c r="M34" s="49">
        <f>IFERROR(VLOOKUP($B34,$AC$2:$AD$65,2,FALSE),"-")</f>
        <v>1536</v>
      </c>
      <c r="O34" s="43" t="s">
        <v>16</v>
      </c>
      <c r="P34">
        <v>5280</v>
      </c>
      <c r="R34" s="43" t="s">
        <v>22</v>
      </c>
      <c r="S34">
        <v>3600</v>
      </c>
      <c r="V34" s="43" t="s">
        <v>16</v>
      </c>
      <c r="W34">
        <v>4320</v>
      </c>
      <c r="Z34" s="43" t="s">
        <v>14</v>
      </c>
      <c r="AA34">
        <v>5256</v>
      </c>
      <c r="AC34" s="43" t="s">
        <v>16</v>
      </c>
      <c r="AD34">
        <v>3780</v>
      </c>
    </row>
    <row r="35" spans="1:30" x14ac:dyDescent="0.35">
      <c r="A35" s="5" t="s">
        <v>71</v>
      </c>
      <c r="B35" s="15" t="s">
        <v>72</v>
      </c>
      <c r="C35" s="23">
        <v>679.01619661992913</v>
      </c>
      <c r="D35" s="23">
        <v>679.01619661992913</v>
      </c>
      <c r="E35" s="23">
        <v>827.91414768727088</v>
      </c>
      <c r="F35" s="23">
        <v>691.01108999058044</v>
      </c>
      <c r="G35" s="23">
        <v>1275.4410287605956</v>
      </c>
      <c r="H35" s="23">
        <v>1142.428460025767</v>
      </c>
      <c r="I35" s="49">
        <f>IFERROR(VLOOKUP($B35,$O$2:$P$55,2,FALSE),"-")</f>
        <v>448</v>
      </c>
      <c r="J35" s="49">
        <f>IFERROR(VLOOKUP($B35,$R$2:$S$65,2,FALSE),"-")</f>
        <v>1124</v>
      </c>
      <c r="K35" s="49">
        <f>IFERROR(VLOOKUP($B35,$V$2:$W$65,2,FALSE),"-")</f>
        <v>1248</v>
      </c>
      <c r="L35" s="49">
        <f>IFERROR(VLOOKUP($B35,$Z$2:$AA$65,2,FALSE),"-")</f>
        <v>1040</v>
      </c>
      <c r="M35" s="49">
        <f>IFERROR(VLOOKUP($B35,$AC$2:$AD$65,2,FALSE),"-")</f>
        <v>960</v>
      </c>
      <c r="O35" s="43" t="s">
        <v>22</v>
      </c>
      <c r="P35">
        <v>2700</v>
      </c>
      <c r="R35" s="43" t="s">
        <v>26</v>
      </c>
      <c r="S35">
        <v>990</v>
      </c>
      <c r="V35" s="43" t="s">
        <v>22</v>
      </c>
      <c r="W35">
        <v>2160</v>
      </c>
      <c r="Z35" s="43" t="s">
        <v>169</v>
      </c>
      <c r="AC35" s="43" t="s">
        <v>22</v>
      </c>
      <c r="AD35">
        <v>1260</v>
      </c>
    </row>
    <row r="36" spans="1:30" x14ac:dyDescent="0.35">
      <c r="A36" s="10" t="s">
        <v>73</v>
      </c>
      <c r="B36" s="6" t="s">
        <v>74</v>
      </c>
      <c r="C36" s="23">
        <v>146.58353397853926</v>
      </c>
      <c r="D36" s="23">
        <v>146.58353397853926</v>
      </c>
      <c r="E36" s="23">
        <v>139.64746420611931</v>
      </c>
      <c r="F36" s="23">
        <v>130.23788526907222</v>
      </c>
      <c r="G36" s="23">
        <v>156.79973046824315</v>
      </c>
      <c r="H36" s="23">
        <v>127.99999999999999</v>
      </c>
      <c r="I36" s="49">
        <f>IFERROR(VLOOKUP($B36,$O$2:$P$55,2,FALSE),"-")</f>
        <v>80</v>
      </c>
      <c r="J36" s="49">
        <f>IFERROR(VLOOKUP($B36,$R$2:$S$65,2,FALSE),"-")</f>
        <v>180</v>
      </c>
      <c r="K36" s="49">
        <f>IFERROR(VLOOKUP($B36,$V$2:$W$65,2,FALSE),"-")</f>
        <v>390</v>
      </c>
      <c r="L36" s="49">
        <f>IFERROR(VLOOKUP($B36,$Z$2:$AA$65,2,FALSE),"-")</f>
        <v>120</v>
      </c>
      <c r="M36" s="49">
        <f>IFERROR(VLOOKUP($B36,$AC$2:$AD$65,2,FALSE),"-")</f>
        <v>120</v>
      </c>
      <c r="O36" s="43" t="s">
        <v>26</v>
      </c>
      <c r="P36">
        <v>270</v>
      </c>
      <c r="R36" s="43" t="s">
        <v>28</v>
      </c>
      <c r="S36">
        <v>2000</v>
      </c>
      <c r="V36" s="43" t="s">
        <v>26</v>
      </c>
      <c r="W36">
        <v>1260</v>
      </c>
      <c r="Z36" s="43" t="s">
        <v>16</v>
      </c>
      <c r="AA36">
        <v>4320</v>
      </c>
      <c r="AC36" s="43" t="s">
        <v>26</v>
      </c>
      <c r="AD36">
        <v>540</v>
      </c>
    </row>
    <row r="37" spans="1:30" x14ac:dyDescent="0.35">
      <c r="A37" s="10" t="s">
        <v>75</v>
      </c>
      <c r="B37" s="6" t="s">
        <v>76</v>
      </c>
      <c r="C37" s="23">
        <v>261.14286205340545</v>
      </c>
      <c r="D37" s="23">
        <v>261.14286205340545</v>
      </c>
      <c r="E37" s="23">
        <v>214.28464486877263</v>
      </c>
      <c r="F37" s="23">
        <v>170.61286886225463</v>
      </c>
      <c r="G37" s="23">
        <v>240.8753821852913</v>
      </c>
      <c r="H37" s="23">
        <v>211.17142857142852</v>
      </c>
      <c r="I37" s="49">
        <f>IFERROR(VLOOKUP($B37,$O$2:$P$55,2,FALSE),"-")</f>
        <v>120</v>
      </c>
      <c r="J37" s="49">
        <f>IFERROR(VLOOKUP($B37,$R$2:$S$65,2,FALSE),"-")</f>
        <v>200</v>
      </c>
      <c r="K37" s="49">
        <f>IFERROR(VLOOKUP($B37,$V$2:$W$65,2,FALSE),"-")</f>
        <v>190</v>
      </c>
      <c r="L37" s="49">
        <f>IFERROR(VLOOKUP($B37,$Z$2:$AA$65,2,FALSE),"-")</f>
        <v>120</v>
      </c>
      <c r="M37" s="49">
        <f>IFERROR(VLOOKUP($B37,$AC$2:$AD$65,2,FALSE),"-")</f>
        <v>200</v>
      </c>
      <c r="O37" s="43" t="s">
        <v>28</v>
      </c>
      <c r="P37">
        <v>1780</v>
      </c>
      <c r="R37" s="43" t="s">
        <v>40</v>
      </c>
      <c r="S37">
        <v>200</v>
      </c>
      <c r="V37" s="43" t="s">
        <v>28</v>
      </c>
      <c r="W37">
        <v>3520</v>
      </c>
      <c r="Z37" s="43" t="s">
        <v>22</v>
      </c>
      <c r="AA37">
        <v>1800</v>
      </c>
      <c r="AC37" s="43" t="s">
        <v>137</v>
      </c>
      <c r="AD37">
        <v>24</v>
      </c>
    </row>
    <row r="38" spans="1:30" x14ac:dyDescent="0.35">
      <c r="A38" s="12" t="s">
        <v>77</v>
      </c>
      <c r="B38" s="13" t="s">
        <v>78</v>
      </c>
      <c r="C38" s="23">
        <v>0</v>
      </c>
      <c r="D38" s="23">
        <v>0</v>
      </c>
      <c r="E38" s="23" t="s">
        <v>149</v>
      </c>
      <c r="F38" s="23" t="s">
        <v>149</v>
      </c>
      <c r="G38" s="23" t="s">
        <v>149</v>
      </c>
      <c r="H38" s="23">
        <v>0</v>
      </c>
      <c r="I38" s="49" t="str">
        <f>IFERROR(VLOOKUP($B38,$O$2:$P$55,2,FALSE),"-")</f>
        <v>-</v>
      </c>
      <c r="J38" s="49" t="str">
        <f>IFERROR(VLOOKUP($B38,$R$2:$S$65,2,FALSE),"-")</f>
        <v>-</v>
      </c>
      <c r="K38" s="49" t="str">
        <f>IFERROR(VLOOKUP($B38,$V$2:$W$65,2,FALSE),"-")</f>
        <v>-</v>
      </c>
      <c r="L38" s="49" t="str">
        <f>IFERROR(VLOOKUP($B38,$Z$2:$AA$65,2,FALSE),"-")</f>
        <v>-</v>
      </c>
      <c r="M38" s="49" t="str">
        <f>IFERROR(VLOOKUP($B38,$AC$2:$AD$65,2,FALSE),"-")</f>
        <v>-</v>
      </c>
      <c r="O38" s="43" t="s">
        <v>40</v>
      </c>
      <c r="P38">
        <v>80</v>
      </c>
      <c r="R38" s="43" t="s">
        <v>38</v>
      </c>
      <c r="S38">
        <v>3136</v>
      </c>
      <c r="V38" s="43" t="s">
        <v>40</v>
      </c>
      <c r="W38">
        <v>280</v>
      </c>
      <c r="Z38" s="43" t="s">
        <v>26</v>
      </c>
      <c r="AA38">
        <v>270</v>
      </c>
      <c r="AC38" s="43" t="s">
        <v>139</v>
      </c>
      <c r="AD38">
        <v>24</v>
      </c>
    </row>
    <row r="39" spans="1:30" x14ac:dyDescent="0.35">
      <c r="A39" s="5" t="s">
        <v>79</v>
      </c>
      <c r="B39" s="6" t="s">
        <v>80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49" t="str">
        <f>IFERROR(VLOOKUP($B39,$O$2:$P$55,2,FALSE),"-")</f>
        <v>-</v>
      </c>
      <c r="J39" s="49">
        <f>IFERROR(VLOOKUP($B39,$R$2:$S$65,2,FALSE),"-")</f>
        <v>20</v>
      </c>
      <c r="K39" s="49" t="str">
        <f>IFERROR(VLOOKUP($B39,$V$2:$W$65,2,FALSE),"-")</f>
        <v>-</v>
      </c>
      <c r="L39" s="49" t="str">
        <f>IFERROR(VLOOKUP($B39,$Z$2:$AA$65,2,FALSE),"-")</f>
        <v>-</v>
      </c>
      <c r="M39" s="49" t="str">
        <f>IFERROR(VLOOKUP($B39,$AC$2:$AD$65,2,FALSE),"-")</f>
        <v>-</v>
      </c>
      <c r="O39" s="43" t="s">
        <v>38</v>
      </c>
      <c r="P39">
        <v>1536</v>
      </c>
      <c r="R39" s="43" t="s">
        <v>34</v>
      </c>
      <c r="S39">
        <v>420</v>
      </c>
      <c r="V39" s="43" t="s">
        <v>38</v>
      </c>
      <c r="W39">
        <v>3200</v>
      </c>
      <c r="Z39" s="43" t="s">
        <v>137</v>
      </c>
      <c r="AA39">
        <v>88</v>
      </c>
      <c r="AC39" s="43" t="s">
        <v>28</v>
      </c>
      <c r="AD39">
        <v>3820</v>
      </c>
    </row>
    <row r="40" spans="1:30" x14ac:dyDescent="0.35">
      <c r="A40" s="10" t="s">
        <v>81</v>
      </c>
      <c r="B40" s="6" t="s">
        <v>82</v>
      </c>
      <c r="C40" s="23">
        <v>168.14737684484865</v>
      </c>
      <c r="D40" s="23">
        <v>168.14737684484865</v>
      </c>
      <c r="E40" s="23">
        <v>192.54914388331275</v>
      </c>
      <c r="F40" s="23">
        <v>135.2316134861961</v>
      </c>
      <c r="G40" s="23">
        <v>301.72823300009355</v>
      </c>
      <c r="H40" s="23">
        <v>219.96818181818182</v>
      </c>
      <c r="I40" s="49">
        <f>IFERROR(VLOOKUP($B40,$O$2:$P$55,2,FALSE),"-")</f>
        <v>160</v>
      </c>
      <c r="J40" s="49">
        <f>IFERROR(VLOOKUP($B40,$R$2:$S$65,2,FALSE),"-")</f>
        <v>120</v>
      </c>
      <c r="K40" s="49">
        <f>IFERROR(VLOOKUP($B40,$V$2:$W$65,2,FALSE),"-")</f>
        <v>120</v>
      </c>
      <c r="L40" s="49">
        <f>IFERROR(VLOOKUP($B40,$Z$2:$AA$65,2,FALSE),"-")</f>
        <v>160</v>
      </c>
      <c r="M40" s="49">
        <f>IFERROR(VLOOKUP($B40,$AC$2:$AD$65,2,FALSE),"-")</f>
        <v>160</v>
      </c>
      <c r="O40" s="43" t="s">
        <v>34</v>
      </c>
      <c r="P40">
        <v>180</v>
      </c>
      <c r="R40" s="43" t="s">
        <v>36</v>
      </c>
      <c r="S40">
        <v>480</v>
      </c>
      <c r="V40" s="43" t="s">
        <v>34</v>
      </c>
      <c r="W40">
        <v>960</v>
      </c>
      <c r="Z40" s="43" t="s">
        <v>139</v>
      </c>
      <c r="AA40">
        <v>88</v>
      </c>
      <c r="AC40" s="43" t="s">
        <v>40</v>
      </c>
      <c r="AD40">
        <v>300</v>
      </c>
    </row>
    <row r="41" spans="1:30" x14ac:dyDescent="0.35">
      <c r="A41" s="12" t="s">
        <v>83</v>
      </c>
      <c r="B41" s="13" t="s">
        <v>84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49">
        <f>IFERROR(VLOOKUP($B41,$O$2:$P$55,2,FALSE),"-")</f>
        <v>30</v>
      </c>
      <c r="J41" s="49" t="str">
        <f>IFERROR(VLOOKUP($B41,$R$2:$S$65,2,FALSE),"-")</f>
        <v>-</v>
      </c>
      <c r="K41" s="49">
        <f>IFERROR(VLOOKUP($B41,$V$2:$W$65,2,FALSE),"-")</f>
        <v>30</v>
      </c>
      <c r="L41" s="49">
        <f>IFERROR(VLOOKUP($B41,$Z$2:$AA$65,2,FALSE),"-")</f>
        <v>40</v>
      </c>
      <c r="M41" s="49" t="str">
        <f>IFERROR(VLOOKUP($B41,$AC$2:$AD$65,2,FALSE),"-")</f>
        <v>-</v>
      </c>
      <c r="O41" s="43" t="s">
        <v>36</v>
      </c>
      <c r="P41">
        <v>180</v>
      </c>
      <c r="R41" s="43" t="s">
        <v>30</v>
      </c>
      <c r="S41">
        <v>740</v>
      </c>
      <c r="V41" s="43" t="s">
        <v>36</v>
      </c>
      <c r="W41">
        <v>720</v>
      </c>
      <c r="Z41" s="43" t="s">
        <v>28</v>
      </c>
      <c r="AA41">
        <v>4880</v>
      </c>
      <c r="AC41" s="43" t="s">
        <v>38</v>
      </c>
      <c r="AD41">
        <v>3264</v>
      </c>
    </row>
    <row r="42" spans="1:30" x14ac:dyDescent="0.35">
      <c r="A42" s="12" t="s">
        <v>85</v>
      </c>
      <c r="B42" s="13" t="s">
        <v>86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49" t="str">
        <f>IFERROR(VLOOKUP($B42,$O$2:$P$55,2,FALSE),"-")</f>
        <v>-</v>
      </c>
      <c r="J42" s="49" t="str">
        <f>IFERROR(VLOOKUP($B42,$R$2:$S$65,2,FALSE),"-")</f>
        <v>-</v>
      </c>
      <c r="K42" s="49" t="str">
        <f>IFERROR(VLOOKUP($B42,$V$2:$W$65,2,FALSE),"-")</f>
        <v>-</v>
      </c>
      <c r="L42" s="49" t="str">
        <f>IFERROR(VLOOKUP($B42,$Z$2:$AA$65,2,FALSE),"-")</f>
        <v>-</v>
      </c>
      <c r="M42" s="49" t="str">
        <f>IFERROR(VLOOKUP($B42,$AC$2:$AD$65,2,FALSE),"-")</f>
        <v>-</v>
      </c>
      <c r="O42" s="43" t="s">
        <v>30</v>
      </c>
      <c r="P42">
        <v>20</v>
      </c>
      <c r="R42" s="43" t="s">
        <v>32</v>
      </c>
      <c r="S42">
        <v>419</v>
      </c>
      <c r="V42" s="43" t="s">
        <v>30</v>
      </c>
      <c r="W42">
        <v>500</v>
      </c>
      <c r="Z42" s="43" t="s">
        <v>40</v>
      </c>
      <c r="AA42">
        <v>180</v>
      </c>
      <c r="AC42" s="43" t="s">
        <v>34</v>
      </c>
      <c r="AD42">
        <v>180</v>
      </c>
    </row>
    <row r="43" spans="1:30" x14ac:dyDescent="0.35">
      <c r="A43" s="12" t="s">
        <v>87</v>
      </c>
      <c r="B43" s="13" t="s">
        <v>88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49" t="str">
        <f>IFERROR(VLOOKUP($B43,$O$2:$P$55,2,FALSE),"-")</f>
        <v>-</v>
      </c>
      <c r="J43" s="49" t="str">
        <f>IFERROR(VLOOKUP($B43,$R$2:$S$65,2,FALSE),"-")</f>
        <v>-</v>
      </c>
      <c r="K43" s="49" t="str">
        <f>IFERROR(VLOOKUP($B43,$V$2:$W$65,2,FALSE),"-")</f>
        <v>-</v>
      </c>
      <c r="L43" s="49" t="str">
        <f>IFERROR(VLOOKUP($B43,$Z$2:$AA$65,2,FALSE),"-")</f>
        <v>-</v>
      </c>
      <c r="M43" s="49" t="str">
        <f>IFERROR(VLOOKUP($B43,$AC$2:$AD$65,2,FALSE),"-")</f>
        <v>-</v>
      </c>
      <c r="O43" s="43" t="s">
        <v>32</v>
      </c>
      <c r="P43">
        <v>20</v>
      </c>
      <c r="R43" s="43" t="s">
        <v>159</v>
      </c>
      <c r="S43">
        <v>432</v>
      </c>
      <c r="V43" s="43" t="s">
        <v>32</v>
      </c>
      <c r="W43">
        <v>360</v>
      </c>
      <c r="Z43" s="43" t="s">
        <v>170</v>
      </c>
      <c r="AA43">
        <v>60</v>
      </c>
      <c r="AC43" s="43" t="s">
        <v>36</v>
      </c>
      <c r="AD43">
        <v>180</v>
      </c>
    </row>
    <row r="44" spans="1:30" x14ac:dyDescent="0.35">
      <c r="A44" s="3" t="s">
        <v>89</v>
      </c>
      <c r="B44" s="4"/>
      <c r="C44" s="4"/>
      <c r="D44" s="4"/>
      <c r="E44" s="4"/>
      <c r="F44" s="4"/>
      <c r="G44" s="4"/>
      <c r="H44" s="24"/>
      <c r="I44" s="4"/>
      <c r="J44" s="4"/>
      <c r="K44" s="4"/>
      <c r="L44" s="4"/>
      <c r="M44" s="4"/>
      <c r="O44" s="43" t="s">
        <v>159</v>
      </c>
      <c r="P44">
        <v>1656</v>
      </c>
      <c r="R44" s="43" t="s">
        <v>124</v>
      </c>
      <c r="S44">
        <v>2664</v>
      </c>
      <c r="V44" s="43" t="s">
        <v>159</v>
      </c>
      <c r="W44">
        <v>432</v>
      </c>
      <c r="Z44" s="43" t="s">
        <v>38</v>
      </c>
      <c r="AA44">
        <v>2112</v>
      </c>
      <c r="AC44" s="43" t="s">
        <v>30</v>
      </c>
      <c r="AD44">
        <v>20</v>
      </c>
    </row>
    <row r="45" spans="1:30" x14ac:dyDescent="0.35">
      <c r="A45" s="5" t="s">
        <v>90</v>
      </c>
      <c r="B45" s="6" t="s">
        <v>91</v>
      </c>
      <c r="C45" s="23">
        <v>305.71795268511096</v>
      </c>
      <c r="D45" s="23">
        <v>305.71795268511096</v>
      </c>
      <c r="E45" s="23">
        <v>388.40835734502275</v>
      </c>
      <c r="F45" s="23">
        <v>599.95936449714497</v>
      </c>
      <c r="G45" s="23">
        <v>711.81753118711538</v>
      </c>
      <c r="H45" s="23">
        <v>549.07935106562047</v>
      </c>
      <c r="I45" s="49">
        <f>IFERROR(VLOOKUP($B45,$O$2:$P$55,2,FALSE),"-")</f>
        <v>336</v>
      </c>
      <c r="J45" s="49">
        <f>IFERROR(VLOOKUP($B45,$R$2:$S$65,2,FALSE),"-")</f>
        <v>576</v>
      </c>
      <c r="K45" s="49">
        <f>IFERROR(VLOOKUP($B45,$V$2:$W$65,2,FALSE),"-")</f>
        <v>576</v>
      </c>
      <c r="L45" s="49">
        <f>IFERROR(VLOOKUP($B45,$Z$2:$AA$65,2,FALSE),"-")</f>
        <v>432</v>
      </c>
      <c r="M45" s="49">
        <f>IFERROR(VLOOKUP($B45,$AC$2:$AD$65,2,FALSE),"-")</f>
        <v>624</v>
      </c>
      <c r="O45" s="43" t="s">
        <v>124</v>
      </c>
      <c r="P45">
        <v>1080</v>
      </c>
      <c r="R45" s="43" t="s">
        <v>167</v>
      </c>
      <c r="S45">
        <v>216</v>
      </c>
      <c r="V45" s="43" t="s">
        <v>124</v>
      </c>
      <c r="W45">
        <v>216</v>
      </c>
      <c r="Z45" s="43" t="s">
        <v>143</v>
      </c>
      <c r="AA45">
        <v>88</v>
      </c>
      <c r="AC45" s="43" t="s">
        <v>32</v>
      </c>
      <c r="AD45">
        <v>40</v>
      </c>
    </row>
    <row r="46" spans="1:30" x14ac:dyDescent="0.35">
      <c r="A46" s="10" t="s">
        <v>92</v>
      </c>
      <c r="B46" s="6" t="s">
        <v>93</v>
      </c>
      <c r="C46" s="23">
        <v>284.08249812300915</v>
      </c>
      <c r="D46" s="23">
        <v>284.08249812300915</v>
      </c>
      <c r="E46" s="23">
        <v>248.28138723719897</v>
      </c>
      <c r="F46" s="23">
        <v>227.7142532056892</v>
      </c>
      <c r="G46" s="23">
        <v>443.90040951178401</v>
      </c>
      <c r="H46" s="23">
        <v>362.47900057008741</v>
      </c>
      <c r="I46" s="49">
        <f>IFERROR(VLOOKUP($B46,$O$2:$P$55,2,FALSE),"-")</f>
        <v>192</v>
      </c>
      <c r="J46" s="49">
        <f>IFERROR(VLOOKUP($B46,$R$2:$S$65,2,FALSE),"-")</f>
        <v>288</v>
      </c>
      <c r="K46" s="49">
        <f>IFERROR(VLOOKUP($B46,$V$2:$W$65,2,FALSE),"-")</f>
        <v>384</v>
      </c>
      <c r="L46" s="49">
        <f>IFERROR(VLOOKUP($B46,$Z$2:$AA$65,2,FALSE),"-")</f>
        <v>336</v>
      </c>
      <c r="M46" s="49">
        <f>IFERROR(VLOOKUP($B46,$AC$2:$AD$65,2,FALSE),"-")</f>
        <v>672</v>
      </c>
      <c r="O46" s="43" t="s">
        <v>127</v>
      </c>
      <c r="P46">
        <v>180</v>
      </c>
      <c r="R46" s="43" t="s">
        <v>127</v>
      </c>
      <c r="S46">
        <v>72</v>
      </c>
      <c r="V46" s="43" t="s">
        <v>167</v>
      </c>
      <c r="W46">
        <v>360</v>
      </c>
      <c r="Z46" s="43" t="s">
        <v>34</v>
      </c>
      <c r="AA46">
        <v>720</v>
      </c>
      <c r="AC46" s="43" t="s">
        <v>159</v>
      </c>
      <c r="AD46">
        <v>288</v>
      </c>
    </row>
    <row r="47" spans="1:30" x14ac:dyDescent="0.35">
      <c r="A47" s="10" t="s">
        <v>94</v>
      </c>
      <c r="B47" s="6" t="s">
        <v>95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49">
        <f>IFERROR(VLOOKUP($B47,$O$2:$P$55,2,FALSE),"-")</f>
        <v>240</v>
      </c>
      <c r="J47" s="49">
        <f>IFERROR(VLOOKUP($B47,$R$2:$S$65,2,FALSE),"-")</f>
        <v>240</v>
      </c>
      <c r="K47" s="49">
        <f>IFERROR(VLOOKUP($B47,$V$2:$W$65,2,FALSE),"-")</f>
        <v>288</v>
      </c>
      <c r="L47" s="49">
        <f>IFERROR(VLOOKUP($B47,$Z$2:$AA$65,2,FALSE),"-")</f>
        <v>96</v>
      </c>
      <c r="M47" s="49">
        <f>IFERROR(VLOOKUP($B47,$AC$2:$AD$65,2,FALSE),"-")</f>
        <v>240</v>
      </c>
      <c r="O47" s="43" t="s">
        <v>160</v>
      </c>
      <c r="P47">
        <v>96</v>
      </c>
      <c r="R47" s="43" t="s">
        <v>160</v>
      </c>
      <c r="S47">
        <v>48</v>
      </c>
      <c r="V47" s="43" t="s">
        <v>127</v>
      </c>
      <c r="W47">
        <v>252</v>
      </c>
      <c r="Z47" s="43" t="s">
        <v>36</v>
      </c>
      <c r="AA47">
        <v>540</v>
      </c>
      <c r="AC47" s="43" t="s">
        <v>124</v>
      </c>
      <c r="AD47">
        <v>648</v>
      </c>
    </row>
    <row r="48" spans="1:30" x14ac:dyDescent="0.35">
      <c r="A48" s="10" t="s">
        <v>96</v>
      </c>
      <c r="B48" s="6" t="s">
        <v>97</v>
      </c>
      <c r="C48" s="23">
        <v>253.21934309501464</v>
      </c>
      <c r="D48" s="23">
        <v>253.21934309501464</v>
      </c>
      <c r="E48" s="23">
        <v>285.73390482563786</v>
      </c>
      <c r="F48" s="23">
        <v>294.03537441621495</v>
      </c>
      <c r="G48" s="23">
        <v>359.16644911775774</v>
      </c>
      <c r="H48" s="23">
        <v>314.50000000000011</v>
      </c>
      <c r="I48" s="49">
        <f>IFERROR(VLOOKUP($B48,$O$2:$P$55,2,FALSE),"-")</f>
        <v>384</v>
      </c>
      <c r="J48" s="49">
        <f>IFERROR(VLOOKUP($B48,$R$2:$S$65,2,FALSE),"-")</f>
        <v>336</v>
      </c>
      <c r="K48" s="49">
        <f>IFERROR(VLOOKUP($B48,$V$2:$W$65,2,FALSE),"-")</f>
        <v>192</v>
      </c>
      <c r="L48" s="49">
        <f>IFERROR(VLOOKUP($B48,$Z$2:$AA$65,2,FALSE),"-")</f>
        <v>144</v>
      </c>
      <c r="M48" s="49">
        <f>IFERROR(VLOOKUP($B48,$AC$2:$AD$65,2,FALSE),"-")</f>
        <v>240</v>
      </c>
      <c r="O48" s="43" t="s">
        <v>122</v>
      </c>
      <c r="P48">
        <v>144</v>
      </c>
      <c r="R48" s="43" t="s">
        <v>117</v>
      </c>
      <c r="S48">
        <v>180</v>
      </c>
      <c r="V48" s="43" t="s">
        <v>160</v>
      </c>
      <c r="W48">
        <v>96</v>
      </c>
      <c r="Z48" s="43" t="s">
        <v>30</v>
      </c>
      <c r="AA48">
        <v>184</v>
      </c>
      <c r="AC48" s="43" t="s">
        <v>135</v>
      </c>
      <c r="AD48">
        <v>24</v>
      </c>
    </row>
    <row r="49" spans="1:30" x14ac:dyDescent="0.35">
      <c r="A49" s="10" t="s">
        <v>98</v>
      </c>
      <c r="B49" s="6" t="s">
        <v>99</v>
      </c>
      <c r="C49" s="23">
        <v>111.37281269339482</v>
      </c>
      <c r="D49" s="23">
        <v>111.37281269339482</v>
      </c>
      <c r="E49" s="23">
        <v>80.609672434801922</v>
      </c>
      <c r="F49" s="23">
        <v>76.148541811937235</v>
      </c>
      <c r="G49" s="23">
        <v>61.710036806853346</v>
      </c>
      <c r="H49" s="23">
        <v>132.45454545454541</v>
      </c>
      <c r="I49" s="49">
        <f>IFERROR(VLOOKUP($B49,$O$2:$P$55,2,FALSE),"-")</f>
        <v>48</v>
      </c>
      <c r="J49" s="49">
        <f>IFERROR(VLOOKUP($B49,$R$2:$S$65,2,FALSE),"-")</f>
        <v>192</v>
      </c>
      <c r="K49" s="49">
        <f>IFERROR(VLOOKUP($B49,$V$2:$W$65,2,FALSE),"-")</f>
        <v>336</v>
      </c>
      <c r="L49" s="49">
        <f>IFERROR(VLOOKUP($B49,$Z$2:$AA$65,2,FALSE),"-")</f>
        <v>240</v>
      </c>
      <c r="M49" s="49">
        <f>IFERROR(VLOOKUP($B49,$AC$2:$AD$65,2,FALSE),"-")</f>
        <v>144</v>
      </c>
      <c r="O49" s="43" t="s">
        <v>120</v>
      </c>
      <c r="P49">
        <v>144</v>
      </c>
      <c r="R49" s="43" t="s">
        <v>42</v>
      </c>
      <c r="S49">
        <v>160</v>
      </c>
      <c r="V49" s="43" t="s">
        <v>42</v>
      </c>
      <c r="W49">
        <v>544</v>
      </c>
      <c r="Z49" s="43" t="s">
        <v>32</v>
      </c>
      <c r="AA49">
        <v>424</v>
      </c>
      <c r="AC49" s="43" t="s">
        <v>42</v>
      </c>
      <c r="AD49">
        <v>128</v>
      </c>
    </row>
    <row r="50" spans="1:30" x14ac:dyDescent="0.35">
      <c r="A50" s="10" t="s">
        <v>100</v>
      </c>
      <c r="B50" s="16" t="s">
        <v>101</v>
      </c>
      <c r="C50" s="23">
        <v>669.03751055498492</v>
      </c>
      <c r="D50" s="23">
        <v>669.03751055498492</v>
      </c>
      <c r="E50" s="23">
        <v>785.64177955126172</v>
      </c>
      <c r="F50" s="23">
        <v>903.88745667799117</v>
      </c>
      <c r="G50" s="23">
        <v>1169.0722766541028</v>
      </c>
      <c r="H50" s="23">
        <v>1424.0318554714579</v>
      </c>
      <c r="I50" s="49">
        <f>IFERROR(VLOOKUP($B50,$O$2:$P$55,2,FALSE),"-")</f>
        <v>1212</v>
      </c>
      <c r="J50" s="49">
        <f>IFERROR(VLOOKUP($B50,$R$2:$S$65,2,FALSE),"-")</f>
        <v>1008</v>
      </c>
      <c r="K50" s="49">
        <f>IFERROR(VLOOKUP($B50,$V$2:$W$65,2,FALSE),"-")</f>
        <v>1368</v>
      </c>
      <c r="L50" s="49">
        <f>IFERROR(VLOOKUP($B50,$Z$2:$AA$65,2,FALSE),"-")</f>
        <v>648</v>
      </c>
      <c r="M50" s="49">
        <f>IFERROR(VLOOKUP($B50,$AC$2:$AD$65,2,FALSE),"-")</f>
        <v>792</v>
      </c>
      <c r="O50" s="43" t="s">
        <v>161</v>
      </c>
      <c r="P50">
        <v>64</v>
      </c>
      <c r="R50" s="43" t="s">
        <v>115</v>
      </c>
      <c r="S50">
        <v>3060</v>
      </c>
      <c r="V50" s="43" t="s">
        <v>115</v>
      </c>
      <c r="W50">
        <v>3780</v>
      </c>
      <c r="Z50" s="43" t="s">
        <v>159</v>
      </c>
      <c r="AA50">
        <v>360</v>
      </c>
      <c r="AC50" s="43" t="s">
        <v>115</v>
      </c>
      <c r="AD50">
        <v>3420</v>
      </c>
    </row>
    <row r="51" spans="1:30" x14ac:dyDescent="0.35">
      <c r="A51" s="3" t="s">
        <v>102</v>
      </c>
      <c r="B51" s="4"/>
      <c r="C51" s="4"/>
      <c r="D51" s="4"/>
      <c r="E51" s="4"/>
      <c r="F51" s="4"/>
      <c r="G51" s="4"/>
      <c r="H51" s="24"/>
      <c r="I51" s="4"/>
      <c r="J51" s="4"/>
      <c r="K51" s="4"/>
      <c r="L51" s="4"/>
      <c r="M51" s="4"/>
      <c r="O51" s="43" t="s">
        <v>42</v>
      </c>
      <c r="P51">
        <v>128</v>
      </c>
      <c r="R51" s="43" t="s">
        <v>130</v>
      </c>
      <c r="S51">
        <v>200</v>
      </c>
      <c r="Z51" s="43" t="s">
        <v>124</v>
      </c>
      <c r="AA51">
        <v>648</v>
      </c>
      <c r="AC51" s="45" t="s">
        <v>165</v>
      </c>
      <c r="AD51" s="46">
        <v>69094</v>
      </c>
    </row>
    <row r="52" spans="1:30" x14ac:dyDescent="0.35">
      <c r="A52" s="10" t="s">
        <v>103</v>
      </c>
      <c r="B52" s="6" t="s">
        <v>104</v>
      </c>
      <c r="C52" s="23">
        <v>237.54230923127432</v>
      </c>
      <c r="D52" s="23">
        <v>237.54230923127432</v>
      </c>
      <c r="E52" s="23">
        <v>304.25021983104762</v>
      </c>
      <c r="F52" s="23">
        <v>135.92564356119948</v>
      </c>
      <c r="G52" s="23">
        <v>159.06184927238914</v>
      </c>
      <c r="H52" s="23">
        <v>231.11926943503872</v>
      </c>
      <c r="I52" s="49">
        <f>IFERROR(VLOOKUP($B52,$O$2:$P$55,2,FALSE),"-")</f>
        <v>130</v>
      </c>
      <c r="J52" s="49">
        <f>IFERROR(VLOOKUP($B52,$R$2:$S$65,2,FALSE),"-")</f>
        <v>364</v>
      </c>
      <c r="K52" s="49">
        <f>IFERROR(VLOOKUP($B52,$V$2:$W$65,2,FALSE),"-")</f>
        <v>650</v>
      </c>
      <c r="L52" s="49">
        <f>IFERROR(VLOOKUP($B52,$Z$2:$AA$65,2,FALSE),"-")</f>
        <v>936</v>
      </c>
      <c r="M52" s="49">
        <f>IFERROR(VLOOKUP($B52,$AC$2:$AD$65,2,FALSE),"-")</f>
        <v>520</v>
      </c>
      <c r="O52" s="43" t="s">
        <v>115</v>
      </c>
      <c r="P52">
        <v>1260</v>
      </c>
      <c r="Z52" s="43" t="s">
        <v>167</v>
      </c>
      <c r="AA52">
        <v>432</v>
      </c>
    </row>
    <row r="53" spans="1:30" x14ac:dyDescent="0.35">
      <c r="A53" s="10" t="s">
        <v>105</v>
      </c>
      <c r="B53" s="6" t="s">
        <v>106</v>
      </c>
      <c r="C53" s="23">
        <v>146.65361668248076</v>
      </c>
      <c r="D53" s="23">
        <v>146.65361668248076</v>
      </c>
      <c r="E53" s="23">
        <v>365.03744271725492</v>
      </c>
      <c r="F53" s="23">
        <v>362.35145323948404</v>
      </c>
      <c r="G53" s="23">
        <v>294.9315452606034</v>
      </c>
      <c r="H53" s="23">
        <v>349.22714654461896</v>
      </c>
      <c r="I53" s="49">
        <f>IFERROR(VLOOKUP($B53,$O$2:$P$55,2,FALSE),"-")</f>
        <v>260</v>
      </c>
      <c r="J53" s="49">
        <f>IFERROR(VLOOKUP($B53,$R$2:$S$65,2,FALSE),"-")</f>
        <v>312</v>
      </c>
      <c r="K53" s="49">
        <f>IFERROR(VLOOKUP($B53,$V$2:$W$65,2,FALSE),"-")</f>
        <v>416</v>
      </c>
      <c r="L53" s="49">
        <f>IFERROR(VLOOKUP($B53,$Z$2:$AA$65,2,FALSE),"-")</f>
        <v>494</v>
      </c>
      <c r="M53" s="49">
        <f>IFERROR(VLOOKUP($B53,$AC$2:$AD$65,2,FALSE),"-")</f>
        <v>390</v>
      </c>
      <c r="O53" s="43" t="s">
        <v>130</v>
      </c>
      <c r="P53">
        <v>100</v>
      </c>
      <c r="Z53" s="43" t="s">
        <v>160</v>
      </c>
      <c r="AA53">
        <v>144</v>
      </c>
    </row>
    <row r="54" spans="1:30" x14ac:dyDescent="0.35">
      <c r="A54" s="10" t="s">
        <v>107</v>
      </c>
      <c r="B54" s="6" t="s">
        <v>108</v>
      </c>
      <c r="C54" s="23">
        <v>56.322320529794311</v>
      </c>
      <c r="D54" s="23">
        <v>56.322320529794311</v>
      </c>
      <c r="E54" s="23">
        <v>101.96364928208875</v>
      </c>
      <c r="F54" s="23">
        <v>123.266643995549</v>
      </c>
      <c r="G54" s="23">
        <v>84.383796855024116</v>
      </c>
      <c r="H54" s="23">
        <v>62.93494861639617</v>
      </c>
      <c r="I54" s="49">
        <f>IFERROR(VLOOKUP($B54,$O$2:$P$55,2,FALSE),"-")</f>
        <v>84</v>
      </c>
      <c r="J54" s="49">
        <f>IFERROR(VLOOKUP($B54,$R$2:$S$65,2,FALSE),"-")</f>
        <v>84</v>
      </c>
      <c r="K54" s="49">
        <f>IFERROR(VLOOKUP($B54,$V$2:$W$65,2,FALSE),"-")</f>
        <v>140</v>
      </c>
      <c r="L54" s="49">
        <f>IFERROR(VLOOKUP($B54,$Z$2:$AA$65,2,FALSE),"-")</f>
        <v>98</v>
      </c>
      <c r="M54" s="49" t="str">
        <f>IFERROR(VLOOKUP($B54,$AC$2:$AD$65,2,FALSE),"-")</f>
        <v>-</v>
      </c>
      <c r="O54" s="43" t="s">
        <v>164</v>
      </c>
      <c r="P54">
        <v>96</v>
      </c>
      <c r="Z54" s="43" t="s">
        <v>133</v>
      </c>
      <c r="AA54">
        <v>64</v>
      </c>
    </row>
    <row r="55" spans="1:30" x14ac:dyDescent="0.35">
      <c r="A55" s="7" t="s">
        <v>109</v>
      </c>
      <c r="B55" s="15" t="s">
        <v>110</v>
      </c>
      <c r="C55" s="23">
        <v>148.16617422712025</v>
      </c>
      <c r="D55" s="23">
        <v>148.16617422712025</v>
      </c>
      <c r="E55" s="23">
        <v>88.221058959103729</v>
      </c>
      <c r="F55" s="23">
        <v>67.887547579604615</v>
      </c>
      <c r="G55" s="23">
        <v>129.05770520254018</v>
      </c>
      <c r="H55" s="23">
        <v>136.94131284076761</v>
      </c>
      <c r="I55" s="49">
        <f>IFERROR(VLOOKUP($B55,$O$2:$P$55,2,FALSE),"-")</f>
        <v>80</v>
      </c>
      <c r="J55" s="49">
        <f>IFERROR(VLOOKUP($B55,$R$2:$S$65,2,FALSE),"-")</f>
        <v>52</v>
      </c>
      <c r="K55" s="49">
        <f>IFERROR(VLOOKUP($B55,$V$2:$W$65,2,FALSE),"-")</f>
        <v>78</v>
      </c>
      <c r="L55" s="49" t="str">
        <f>IFERROR(VLOOKUP($B55,$Z$2:$AA$65,2,FALSE),"-")</f>
        <v>-</v>
      </c>
      <c r="M55" s="49">
        <f>IFERROR(VLOOKUP($B55,$AC$2:$AD$65,2,FALSE),"-")</f>
        <v>26</v>
      </c>
      <c r="O55" s="45" t="s">
        <v>165</v>
      </c>
      <c r="P55" s="46">
        <v>46332</v>
      </c>
      <c r="Z55" s="43" t="s">
        <v>135</v>
      </c>
      <c r="AA55">
        <v>69</v>
      </c>
    </row>
    <row r="56" spans="1:30" x14ac:dyDescent="0.35">
      <c r="A56" s="7" t="s">
        <v>111</v>
      </c>
      <c r="B56" s="17" t="s">
        <v>112</v>
      </c>
      <c r="C56" s="23">
        <v>545.38303732061252</v>
      </c>
      <c r="D56" s="23">
        <v>545.38303732061252</v>
      </c>
      <c r="E56" s="23">
        <v>510.5753181895156</v>
      </c>
      <c r="F56" s="23">
        <v>461.81697764261367</v>
      </c>
      <c r="G56" s="23">
        <v>734.37938584180085</v>
      </c>
      <c r="H56" s="23">
        <v>694.55721745397921</v>
      </c>
      <c r="I56" s="49">
        <f>IFERROR(VLOOKUP($B56,$O$2:$P$55,2,FALSE),"-")</f>
        <v>270</v>
      </c>
      <c r="J56" s="49">
        <f>IFERROR(VLOOKUP($B56,$R$2:$S$65,2,FALSE),"-")</f>
        <v>360</v>
      </c>
      <c r="K56" s="49">
        <f>IFERROR(VLOOKUP($B56,$V$2:$W$65,2,FALSE),"-")</f>
        <v>149</v>
      </c>
      <c r="L56" s="49">
        <f>IFERROR(VLOOKUP($B56,$Z$2:$AA$65,2,FALSE),"-")</f>
        <v>237</v>
      </c>
      <c r="M56" s="49">
        <f>IFERROR(VLOOKUP($B56,$AC$2:$AD$65,2,FALSE),"-")</f>
        <v>344</v>
      </c>
      <c r="Z56" s="43" t="s">
        <v>42</v>
      </c>
      <c r="AA56">
        <v>704</v>
      </c>
    </row>
    <row r="57" spans="1:30" x14ac:dyDescent="0.35">
      <c r="A57" s="3" t="s">
        <v>113</v>
      </c>
      <c r="B57" s="14"/>
      <c r="C57" s="14"/>
      <c r="D57" s="14"/>
      <c r="E57" s="14"/>
      <c r="F57" s="14"/>
      <c r="G57" s="14"/>
      <c r="H57" s="18"/>
      <c r="I57" s="4"/>
      <c r="J57" s="4"/>
      <c r="K57" s="4"/>
      <c r="L57" s="4"/>
      <c r="M57" s="4"/>
      <c r="Z57" s="43" t="s">
        <v>115</v>
      </c>
      <c r="AA57">
        <v>3240</v>
      </c>
    </row>
    <row r="58" spans="1:30" x14ac:dyDescent="0.35">
      <c r="A58" s="10" t="s">
        <v>114</v>
      </c>
      <c r="B58" s="6" t="s">
        <v>115</v>
      </c>
      <c r="C58" s="23">
        <v>1991.5904984891467</v>
      </c>
      <c r="D58" s="23">
        <v>1991.5904984891467</v>
      </c>
      <c r="E58" s="23">
        <v>2271.0399727004747</v>
      </c>
      <c r="F58" s="23">
        <v>2331.9420122558554</v>
      </c>
      <c r="G58" s="23">
        <v>3705.4863682298992</v>
      </c>
      <c r="H58" s="23">
        <v>3416.8099935815007</v>
      </c>
      <c r="I58" s="49">
        <f>IFERROR(VLOOKUP($B58,$O$2:$P$55,2,FALSE),"-")</f>
        <v>1260</v>
      </c>
      <c r="J58" s="49">
        <f>IFERROR(VLOOKUP($B58,$R$2:$S$65,2,FALSE),"-")</f>
        <v>3060</v>
      </c>
      <c r="K58" s="49">
        <f>IFERROR(VLOOKUP($B58,$V$2:$W$65,2,FALSE),"-")</f>
        <v>3780</v>
      </c>
      <c r="L58" s="49">
        <f>IFERROR(VLOOKUP($B58,$Z$2:$AA$65,2,FALSE),"-")</f>
        <v>3240</v>
      </c>
      <c r="M58" s="49">
        <f>IFERROR(VLOOKUP($B58,$AC$2:$AD$65,2,FALSE),"-")</f>
        <v>3420</v>
      </c>
      <c r="Z58" s="43" t="s">
        <v>130</v>
      </c>
      <c r="AA58">
        <v>40</v>
      </c>
    </row>
    <row r="59" spans="1:30" x14ac:dyDescent="0.35">
      <c r="A59" s="7" t="s">
        <v>116</v>
      </c>
      <c r="B59" s="8" t="s">
        <v>117</v>
      </c>
      <c r="C59" s="23" t="s">
        <v>149</v>
      </c>
      <c r="D59" s="23" t="s">
        <v>149</v>
      </c>
      <c r="E59" s="23" t="s">
        <v>149</v>
      </c>
      <c r="F59" s="23" t="s">
        <v>149</v>
      </c>
      <c r="G59" s="23" t="s">
        <v>149</v>
      </c>
      <c r="H59" s="23" t="s">
        <v>149</v>
      </c>
      <c r="I59" s="49" t="str">
        <f>IFERROR(VLOOKUP($B59,$O$2:$P$55,2,FALSE),"-")</f>
        <v>-</v>
      </c>
      <c r="J59" s="49">
        <f>IFERROR(VLOOKUP($B59,$R$2:$S$65,2,FALSE),"-")</f>
        <v>180</v>
      </c>
      <c r="K59" s="49" t="str">
        <f>IFERROR(VLOOKUP($B59,$V$2:$W$65,2,FALSE),"-")</f>
        <v>-</v>
      </c>
      <c r="L59" s="49" t="str">
        <f>IFERROR(VLOOKUP($B59,$Z$2:$AA$65,2,FALSE),"-")</f>
        <v>-</v>
      </c>
      <c r="M59" s="49" t="str">
        <f>IFERROR(VLOOKUP($B59,$AC$2:$AD$65,2,FALSE),"-")</f>
        <v>-</v>
      </c>
      <c r="Z59" s="45" t="s">
        <v>165</v>
      </c>
      <c r="AA59" s="46">
        <v>74440</v>
      </c>
    </row>
    <row r="60" spans="1:30" x14ac:dyDescent="0.35">
      <c r="A60" s="3" t="s">
        <v>118</v>
      </c>
      <c r="B60" s="14"/>
      <c r="C60" s="14"/>
      <c r="D60" s="14"/>
      <c r="E60" s="14"/>
      <c r="F60" s="14"/>
      <c r="G60" s="14"/>
      <c r="H60" s="18"/>
      <c r="I60" s="4"/>
      <c r="J60" s="4"/>
      <c r="K60" s="4"/>
      <c r="L60" s="4"/>
      <c r="M60" s="4"/>
    </row>
    <row r="61" spans="1:30" x14ac:dyDescent="0.35">
      <c r="A61" s="7" t="s">
        <v>119</v>
      </c>
      <c r="B61" s="8" t="s">
        <v>120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49">
        <f>IFERROR(VLOOKUP($B61,$O$2:$P$55,2,FALSE),"-")</f>
        <v>144</v>
      </c>
      <c r="J61" s="49" t="str">
        <f>IFERROR(VLOOKUP($B61,$R$2:$S$65,2,FALSE),"-")</f>
        <v>-</v>
      </c>
      <c r="K61" s="49" t="str">
        <f>IFERROR(VLOOKUP($B61,$V$2:$W$65,2,FALSE),"-")</f>
        <v>-</v>
      </c>
      <c r="L61" s="49" t="str">
        <f>IFERROR(VLOOKUP($B61,$Z$2:$AA$65,2,FALSE),"-")</f>
        <v>-</v>
      </c>
      <c r="M61" s="49" t="str">
        <f>IFERROR(VLOOKUP($B61,$AC$2:$AD$65,2,FALSE),"-")</f>
        <v>-</v>
      </c>
    </row>
    <row r="62" spans="1:30" x14ac:dyDescent="0.35">
      <c r="A62" s="7" t="s">
        <v>121</v>
      </c>
      <c r="B62" s="8" t="s">
        <v>122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49">
        <f>IFERROR(VLOOKUP($B62,$O$2:$P$55,2,FALSE),"-")</f>
        <v>144</v>
      </c>
      <c r="J62" s="49" t="str">
        <f>IFERROR(VLOOKUP($B62,$R$2:$S$65,2,FALSE),"-")</f>
        <v>-</v>
      </c>
      <c r="K62" s="49" t="str">
        <f>IFERROR(VLOOKUP($B62,$V$2:$W$65,2,FALSE),"-")</f>
        <v>-</v>
      </c>
      <c r="L62" s="49" t="str">
        <f>IFERROR(VLOOKUP($B62,$Z$2:$AA$65,2,FALSE),"-")</f>
        <v>-</v>
      </c>
      <c r="M62" s="49" t="str">
        <f>IFERROR(VLOOKUP($B62,$AC$2:$AD$65,2,FALSE),"-")</f>
        <v>-</v>
      </c>
    </row>
    <row r="63" spans="1:30" x14ac:dyDescent="0.35">
      <c r="A63" s="7" t="s">
        <v>123</v>
      </c>
      <c r="B63" s="8" t="s">
        <v>124</v>
      </c>
      <c r="C63" s="23">
        <v>630.4840497968712</v>
      </c>
      <c r="D63" s="23">
        <v>630.4840497968712</v>
      </c>
      <c r="E63" s="23">
        <v>36.609336609336601</v>
      </c>
      <c r="F63" s="23">
        <v>648.23015749259309</v>
      </c>
      <c r="G63" s="23">
        <v>423.08594404422854</v>
      </c>
      <c r="H63" s="23">
        <v>423.08594404422854</v>
      </c>
      <c r="I63" s="49">
        <f>IFERROR(VLOOKUP($B63,$O$2:$P$55,2,FALSE),"-")</f>
        <v>1080</v>
      </c>
      <c r="J63" s="49">
        <f>IFERROR(VLOOKUP($B63,$R$2:$S$65,2,FALSE),"-")</f>
        <v>2664</v>
      </c>
      <c r="K63" s="49">
        <f>IFERROR(VLOOKUP($B63,$V$2:$W$65,2,FALSE),"-")</f>
        <v>216</v>
      </c>
      <c r="L63" s="49">
        <f>IFERROR(VLOOKUP($B63,$Z$2:$AA$65,2,FALSE),"-")</f>
        <v>648</v>
      </c>
      <c r="M63" s="49">
        <f>IFERROR(VLOOKUP($B63,$AC$2:$AD$65,2,FALSE),"-")</f>
        <v>648</v>
      </c>
    </row>
    <row r="64" spans="1:30" x14ac:dyDescent="0.35">
      <c r="A64" s="3" t="s">
        <v>125</v>
      </c>
      <c r="B64" s="14"/>
      <c r="C64" s="14"/>
      <c r="D64" s="14"/>
      <c r="E64" s="14"/>
      <c r="F64" s="14"/>
      <c r="G64" s="14"/>
      <c r="H64" s="18"/>
      <c r="I64" s="4"/>
      <c r="J64" s="4"/>
      <c r="K64" s="4"/>
      <c r="L64" s="4"/>
      <c r="M64" s="4"/>
    </row>
    <row r="65" spans="1:13" x14ac:dyDescent="0.35">
      <c r="A65" s="7" t="s">
        <v>126</v>
      </c>
      <c r="B65" s="15" t="s">
        <v>127</v>
      </c>
      <c r="C65" s="23">
        <v>537.15269677922731</v>
      </c>
      <c r="D65" s="23">
        <v>537.15269677922731</v>
      </c>
      <c r="E65" s="23">
        <v>0</v>
      </c>
      <c r="F65" s="23">
        <v>0</v>
      </c>
      <c r="G65" s="23">
        <v>0</v>
      </c>
      <c r="H65" s="23" t="s">
        <v>149</v>
      </c>
      <c r="I65" s="49">
        <f>IFERROR(VLOOKUP($B65,$O$2:$P$55,2,FALSE),"-")</f>
        <v>180</v>
      </c>
      <c r="J65" s="49">
        <f>IFERROR(VLOOKUP($B65,$R$2:$S$65,2,FALSE),"-")</f>
        <v>72</v>
      </c>
      <c r="K65" s="49">
        <f>IFERROR(VLOOKUP($B65,$V$2:$W$65,2,FALSE),"-")</f>
        <v>252</v>
      </c>
      <c r="L65" s="49" t="str">
        <f>IFERROR(VLOOKUP($B65,$Z$2:$AA$65,2,FALSE),"-")</f>
        <v>-</v>
      </c>
      <c r="M65" s="49" t="str">
        <f>IFERROR(VLOOKUP($B65,$AC$2:$AD$65,2,FALSE),"-")</f>
        <v>-</v>
      </c>
    </row>
    <row r="66" spans="1:13" x14ac:dyDescent="0.35">
      <c r="A66" s="3" t="s">
        <v>128</v>
      </c>
      <c r="B66" s="18"/>
      <c r="C66" s="18"/>
      <c r="D66" s="18"/>
      <c r="E66" s="18"/>
      <c r="F66" s="18"/>
      <c r="G66" s="18"/>
      <c r="H66" s="18"/>
      <c r="I66" s="4"/>
      <c r="J66" s="4"/>
      <c r="K66" s="4"/>
      <c r="L66" s="4"/>
      <c r="M66" s="4"/>
    </row>
    <row r="67" spans="1:13" x14ac:dyDescent="0.35">
      <c r="A67" s="7" t="s">
        <v>129</v>
      </c>
      <c r="B67" s="8" t="s">
        <v>130</v>
      </c>
      <c r="C67" s="23">
        <v>0</v>
      </c>
      <c r="D67" s="23">
        <v>29.815538429338758</v>
      </c>
      <c r="E67" s="23">
        <v>42.000000000000007</v>
      </c>
      <c r="F67" s="23">
        <v>0</v>
      </c>
      <c r="G67" s="23">
        <v>0</v>
      </c>
      <c r="H67" s="23" t="s">
        <v>149</v>
      </c>
      <c r="I67" s="49">
        <f>IFERROR(VLOOKUP($B67,$O$2:$P$55,2,FALSE),"-")</f>
        <v>100</v>
      </c>
      <c r="J67" s="49">
        <f>IFERROR(VLOOKUP($B67,$R$2:$S$65,2,FALSE),"-")</f>
        <v>200</v>
      </c>
      <c r="K67" s="49" t="str">
        <f>IFERROR(VLOOKUP($B67,$V$2:$W$65,2,FALSE),"-")</f>
        <v>-</v>
      </c>
      <c r="L67" s="49">
        <f>IFERROR(VLOOKUP($B67,$Z$2:$AA$65,2,FALSE),"-")</f>
        <v>40</v>
      </c>
      <c r="M67" s="49" t="str">
        <f>IFERROR(VLOOKUP($B67,$AC$2:$AD$65,2,FALSE),"-")</f>
        <v>-</v>
      </c>
    </row>
    <row r="68" spans="1:13" x14ac:dyDescent="0.35">
      <c r="A68" s="3" t="s">
        <v>131</v>
      </c>
      <c r="B68" s="18"/>
      <c r="C68" s="18"/>
      <c r="D68" s="18"/>
      <c r="E68" s="18"/>
      <c r="F68" s="18"/>
      <c r="G68" s="18"/>
      <c r="H68" s="18"/>
      <c r="I68" s="4"/>
      <c r="J68" s="4"/>
      <c r="K68" s="4"/>
      <c r="L68" s="4"/>
      <c r="M68" s="4"/>
    </row>
    <row r="69" spans="1:13" x14ac:dyDescent="0.35">
      <c r="A69" s="7" t="s">
        <v>132</v>
      </c>
      <c r="B69" s="8" t="s">
        <v>133</v>
      </c>
      <c r="C69" s="23" t="s">
        <v>149</v>
      </c>
      <c r="D69" s="23" t="s">
        <v>149</v>
      </c>
      <c r="E69" s="23" t="s">
        <v>149</v>
      </c>
      <c r="F69" s="23" t="s">
        <v>149</v>
      </c>
      <c r="G69" s="23" t="s">
        <v>149</v>
      </c>
      <c r="H69" s="23" t="s">
        <v>149</v>
      </c>
      <c r="I69" s="49" t="str">
        <f>IFERROR(VLOOKUP($B69,$O$2:$P$55,2,FALSE),"-")</f>
        <v>-</v>
      </c>
      <c r="J69" s="49" t="str">
        <f>IFERROR(VLOOKUP($B69,$R$2:$S$65,2,FALSE),"-")</f>
        <v>-</v>
      </c>
      <c r="K69" s="49" t="str">
        <f>IFERROR(VLOOKUP($B69,$V$2:$W$65,2,FALSE),"-")</f>
        <v>-</v>
      </c>
      <c r="L69" s="49">
        <f>IFERROR(VLOOKUP($B69,$Z$2:$AA$65,2,FALSE),"-")</f>
        <v>64</v>
      </c>
      <c r="M69" s="49" t="str">
        <f>IFERROR(VLOOKUP($B69,$AC$2:$AD$65,2,FALSE),"-")</f>
        <v>-</v>
      </c>
    </row>
    <row r="70" spans="1:13" x14ac:dyDescent="0.35">
      <c r="A70" s="7" t="s">
        <v>134</v>
      </c>
      <c r="B70" s="8" t="s">
        <v>135</v>
      </c>
      <c r="C70" s="23" t="s">
        <v>149</v>
      </c>
      <c r="D70" s="23" t="s">
        <v>149</v>
      </c>
      <c r="E70" s="23" t="s">
        <v>149</v>
      </c>
      <c r="F70" s="23" t="s">
        <v>149</v>
      </c>
      <c r="G70" s="23" t="s">
        <v>149</v>
      </c>
      <c r="H70" s="23" t="s">
        <v>149</v>
      </c>
      <c r="I70" s="49" t="str">
        <f>IFERROR(VLOOKUP($B70,$O$2:$P$55,2,FALSE),"-")</f>
        <v>-</v>
      </c>
      <c r="J70" s="49" t="str">
        <f>IFERROR(VLOOKUP($B70,$R$2:$S$65,2,FALSE),"-")</f>
        <v>-</v>
      </c>
      <c r="K70" s="49" t="str">
        <f>IFERROR(VLOOKUP($B70,$V$2:$W$65,2,FALSE),"-")</f>
        <v>-</v>
      </c>
      <c r="L70" s="49">
        <f>IFERROR(VLOOKUP($B70,$Z$2:$AA$65,2,FALSE),"-")</f>
        <v>69</v>
      </c>
      <c r="M70" s="49">
        <f>IFERROR(VLOOKUP($B70,$AC$2:$AD$65,2,FALSE),"-")</f>
        <v>24</v>
      </c>
    </row>
    <row r="71" spans="1:13" x14ac:dyDescent="0.35">
      <c r="A71" s="7" t="s">
        <v>136</v>
      </c>
      <c r="B71" s="8" t="s">
        <v>137</v>
      </c>
      <c r="C71" s="23" t="s">
        <v>149</v>
      </c>
      <c r="D71" s="23" t="s">
        <v>149</v>
      </c>
      <c r="E71" s="23" t="s">
        <v>149</v>
      </c>
      <c r="F71" s="23" t="s">
        <v>149</v>
      </c>
      <c r="G71" s="23" t="s">
        <v>149</v>
      </c>
      <c r="H71" s="23" t="s">
        <v>149</v>
      </c>
      <c r="I71" s="49" t="str">
        <f>IFERROR(VLOOKUP($B71,$O$2:$P$55,2,FALSE),"-")</f>
        <v>-</v>
      </c>
      <c r="J71" s="49" t="str">
        <f>IFERROR(VLOOKUP($B71,$R$2:$S$65,2,FALSE),"-")</f>
        <v>-</v>
      </c>
      <c r="K71" s="49" t="str">
        <f>IFERROR(VLOOKUP($B71,$V$2:$W$65,2,FALSE),"-")</f>
        <v>-</v>
      </c>
      <c r="L71" s="49">
        <f>IFERROR(VLOOKUP($B71,$Z$2:$AA$65,2,FALSE),"-")</f>
        <v>88</v>
      </c>
      <c r="M71" s="49">
        <f>IFERROR(VLOOKUP($B71,$AC$2:$AD$65,2,FALSE),"-")</f>
        <v>24</v>
      </c>
    </row>
    <row r="72" spans="1:13" x14ac:dyDescent="0.35">
      <c r="A72" s="7" t="s">
        <v>138</v>
      </c>
      <c r="B72" s="8" t="s">
        <v>139</v>
      </c>
      <c r="C72" s="23" t="s">
        <v>149</v>
      </c>
      <c r="D72" s="23" t="s">
        <v>149</v>
      </c>
      <c r="E72" s="23" t="s">
        <v>149</v>
      </c>
      <c r="F72" s="23" t="s">
        <v>149</v>
      </c>
      <c r="G72" s="23" t="s">
        <v>149</v>
      </c>
      <c r="H72" s="23" t="s">
        <v>149</v>
      </c>
      <c r="I72" s="49" t="str">
        <f>IFERROR(VLOOKUP($B72,$O$2:$P$55,2,FALSE),"-")</f>
        <v>-</v>
      </c>
      <c r="J72" s="49" t="str">
        <f>IFERROR(VLOOKUP($B72,$R$2:$S$65,2,FALSE),"-")</f>
        <v>-</v>
      </c>
      <c r="K72" s="49" t="str">
        <f>IFERROR(VLOOKUP($B72,$V$2:$W$65,2,FALSE),"-")</f>
        <v>-</v>
      </c>
      <c r="L72" s="49">
        <f>IFERROR(VLOOKUP($B72,$Z$2:$AA$65,2,FALSE),"-")</f>
        <v>88</v>
      </c>
      <c r="M72" s="49">
        <f>IFERROR(VLOOKUP($B72,$AC$2:$AD$65,2,FALSE),"-")</f>
        <v>24</v>
      </c>
    </row>
    <row r="73" spans="1:13" x14ac:dyDescent="0.35">
      <c r="A73" s="7" t="s">
        <v>140</v>
      </c>
      <c r="B73" s="8" t="s">
        <v>141</v>
      </c>
      <c r="C73" s="23" t="s">
        <v>149</v>
      </c>
      <c r="D73" s="23" t="s">
        <v>149</v>
      </c>
      <c r="E73" s="23" t="s">
        <v>149</v>
      </c>
      <c r="F73" s="23" t="s">
        <v>149</v>
      </c>
      <c r="G73" s="23" t="s">
        <v>149</v>
      </c>
      <c r="H73" s="23" t="s">
        <v>149</v>
      </c>
      <c r="I73" s="49" t="str">
        <f>IFERROR(VLOOKUP($B73,$O$2:$P$55,2,FALSE),"-")</f>
        <v>-</v>
      </c>
      <c r="J73" s="49" t="str">
        <f>IFERROR(VLOOKUP($B73,$R$2:$S$65,2,FALSE),"-")</f>
        <v>-</v>
      </c>
      <c r="K73" s="49" t="str">
        <f>IFERROR(VLOOKUP($B73,$V$2:$W$65,2,FALSE),"-")</f>
        <v>-</v>
      </c>
      <c r="L73" s="49">
        <f>IFERROR(VLOOKUP($B73,$Z$2:$AA$65,2,FALSE),"-")</f>
        <v>168</v>
      </c>
      <c r="M73" s="49">
        <f>IFERROR(VLOOKUP($B73,$AC$2:$AD$65,2,FALSE),"-")</f>
        <v>24</v>
      </c>
    </row>
    <row r="74" spans="1:13" x14ac:dyDescent="0.35">
      <c r="A74" s="7" t="s">
        <v>142</v>
      </c>
      <c r="B74" s="8" t="s">
        <v>143</v>
      </c>
      <c r="C74" s="23" t="s">
        <v>149</v>
      </c>
      <c r="D74" s="23" t="s">
        <v>149</v>
      </c>
      <c r="E74" s="23" t="s">
        <v>149</v>
      </c>
      <c r="F74" s="23" t="s">
        <v>149</v>
      </c>
      <c r="G74" s="23" t="s">
        <v>149</v>
      </c>
      <c r="H74" s="23" t="s">
        <v>149</v>
      </c>
      <c r="I74" s="49" t="str">
        <f>IFERROR(VLOOKUP($B74,$O$2:$P$55,2,FALSE),"-")</f>
        <v>-</v>
      </c>
      <c r="J74" s="49" t="str">
        <f>IFERROR(VLOOKUP($B74,$R$2:$S$65,2,FALSE),"-")</f>
        <v>-</v>
      </c>
      <c r="K74" s="49" t="str">
        <f>IFERROR(VLOOKUP($B74,$V$2:$W$65,2,FALSE),"-")</f>
        <v>-</v>
      </c>
      <c r="L74" s="49">
        <f>IFERROR(VLOOKUP($B74,$Z$2:$AA$65,2,FALSE),"-")</f>
        <v>88</v>
      </c>
      <c r="M74" s="49" t="str">
        <f>IFERROR(VLOOKUP($B74,$AC$2:$AD$65,2,FALSE),"-")</f>
        <v>-</v>
      </c>
    </row>
    <row r="75" spans="1:13" x14ac:dyDescent="0.35">
      <c r="A75" s="7" t="s">
        <v>144</v>
      </c>
      <c r="B75" s="8" t="s">
        <v>145</v>
      </c>
      <c r="C75" s="23" t="s">
        <v>149</v>
      </c>
      <c r="D75" s="23" t="s">
        <v>149</v>
      </c>
      <c r="E75" s="23" t="s">
        <v>149</v>
      </c>
      <c r="F75" s="23" t="s">
        <v>149</v>
      </c>
      <c r="G75" s="23" t="s">
        <v>149</v>
      </c>
      <c r="H75" s="23" t="s">
        <v>149</v>
      </c>
      <c r="I75" s="49" t="str">
        <f>IFERROR(VLOOKUP($B75,$O$2:$P$55,2,FALSE),"-")</f>
        <v>-</v>
      </c>
      <c r="J75" s="49" t="str">
        <f>IFERROR(VLOOKUP($B75,$R$2:$S$65,2,FALSE),"-")</f>
        <v>-</v>
      </c>
      <c r="K75" s="49" t="str">
        <f>IFERROR(VLOOKUP($B75,$V$2:$W$65,2,FALSE),"-")</f>
        <v>-</v>
      </c>
      <c r="L75" s="49" t="str">
        <f>IFERROR(VLOOKUP($B75,$Z$2:$AA$65,2,FALSE),"-")</f>
        <v>-</v>
      </c>
      <c r="M75" s="49" t="str">
        <f>IFERROR(VLOOKUP($B75,$AC$2:$AD$65,2,FALSE),"-")</f>
        <v>-</v>
      </c>
    </row>
  </sheetData>
  <mergeCells count="2">
    <mergeCell ref="C1:H1"/>
    <mergeCell ref="I1:M1"/>
  </mergeCells>
  <conditionalFormatting sqref="B65">
    <cfRule type="duplicateValues" dxfId="26" priority="1"/>
  </conditionalFormatting>
  <hyperlinks>
    <hyperlink ref="B75" r:id="rId1" display="https://sellercentral.amazon.in/skucentral?mSku=SANYF01&amp;condition=New&amp;ref_=myp_skuc" xr:uid="{E2EFA7AA-3140-4759-8F7C-90B736B32DA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561C7-B194-43D5-9CF7-C85B5952A66C}">
  <dimension ref="A1:AD75"/>
  <sheetViews>
    <sheetView topLeftCell="C56" workbookViewId="0">
      <selection activeCell="I56" sqref="I56"/>
    </sheetView>
  </sheetViews>
  <sheetFormatPr defaultRowHeight="14.5" x14ac:dyDescent="0.35"/>
  <cols>
    <col min="1" max="1" width="56.453125" customWidth="1"/>
    <col min="2" max="2" width="11.90625" bestFit="1" customWidth="1"/>
    <col min="3" max="13" width="13.453125" bestFit="1" customWidth="1"/>
  </cols>
  <sheetData>
    <row r="1" spans="1:30" x14ac:dyDescent="0.35">
      <c r="C1" s="48" t="s">
        <v>171</v>
      </c>
      <c r="D1" s="48"/>
      <c r="E1" s="48"/>
      <c r="F1" s="48"/>
      <c r="G1" s="48"/>
      <c r="H1" s="48"/>
      <c r="I1" s="48" t="s">
        <v>172</v>
      </c>
      <c r="J1" s="48"/>
      <c r="K1" s="48"/>
      <c r="L1" s="48"/>
      <c r="M1" s="48"/>
    </row>
    <row r="2" spans="1:30" x14ac:dyDescent="0.35">
      <c r="B2" s="19" t="s">
        <v>146</v>
      </c>
      <c r="C2" s="27">
        <v>46113</v>
      </c>
      <c r="D2" s="27">
        <v>46143</v>
      </c>
      <c r="E2" s="27">
        <v>46174</v>
      </c>
      <c r="F2" s="27">
        <v>46204</v>
      </c>
      <c r="G2" s="27">
        <v>46235</v>
      </c>
      <c r="H2" s="27">
        <v>46266</v>
      </c>
      <c r="I2" s="27">
        <v>46113</v>
      </c>
      <c r="J2" s="27">
        <v>46143</v>
      </c>
      <c r="K2" s="27">
        <v>46174</v>
      </c>
      <c r="L2" s="27">
        <v>46204</v>
      </c>
      <c r="M2" s="27">
        <v>46235</v>
      </c>
    </row>
    <row r="3" spans="1:30" x14ac:dyDescent="0.35">
      <c r="A3" s="1" t="s">
        <v>11</v>
      </c>
      <c r="B3" s="2"/>
      <c r="C3" s="21" t="s">
        <v>148</v>
      </c>
      <c r="D3" s="21" t="s">
        <v>148</v>
      </c>
      <c r="E3" s="21" t="s">
        <v>148</v>
      </c>
      <c r="F3" s="21" t="s">
        <v>148</v>
      </c>
      <c r="G3" s="21" t="s">
        <v>148</v>
      </c>
      <c r="H3" s="21" t="s">
        <v>148</v>
      </c>
      <c r="I3" s="21" t="s">
        <v>148</v>
      </c>
      <c r="J3" s="21" t="s">
        <v>148</v>
      </c>
      <c r="K3" s="21" t="s">
        <v>148</v>
      </c>
      <c r="L3" s="21" t="s">
        <v>148</v>
      </c>
      <c r="M3" s="21" t="s">
        <v>148</v>
      </c>
      <c r="Q3" s="44" t="s">
        <v>156</v>
      </c>
      <c r="R3" s="47">
        <v>46113</v>
      </c>
      <c r="T3" s="44" t="s">
        <v>156</v>
      </c>
      <c r="U3" s="47">
        <v>46143</v>
      </c>
      <c r="W3" s="44" t="s">
        <v>156</v>
      </c>
      <c r="X3" s="47">
        <v>46174</v>
      </c>
      <c r="Z3" s="44" t="s">
        <v>156</v>
      </c>
      <c r="AA3" s="47">
        <v>46204</v>
      </c>
      <c r="AC3" s="44" t="s">
        <v>156</v>
      </c>
      <c r="AD3" s="47">
        <v>46235</v>
      </c>
    </row>
    <row r="4" spans="1:30" x14ac:dyDescent="0.35">
      <c r="A4" s="3" t="s">
        <v>12</v>
      </c>
      <c r="B4" s="4"/>
      <c r="C4" s="4"/>
      <c r="D4" s="4"/>
      <c r="E4" s="4"/>
      <c r="F4" s="4"/>
      <c r="G4" s="4"/>
      <c r="H4" s="22"/>
      <c r="I4" s="4"/>
      <c r="J4" s="4"/>
      <c r="K4" s="4"/>
      <c r="L4" s="4"/>
      <c r="M4" s="4"/>
      <c r="Q4" s="43" t="s">
        <v>178</v>
      </c>
      <c r="R4">
        <v>50</v>
      </c>
      <c r="T4" s="43" t="s">
        <v>174</v>
      </c>
      <c r="U4">
        <v>20</v>
      </c>
      <c r="W4" s="43" t="s">
        <v>174</v>
      </c>
      <c r="X4">
        <v>40</v>
      </c>
      <c r="Z4" s="43" t="s">
        <v>110</v>
      </c>
      <c r="AA4">
        <v>1560</v>
      </c>
      <c r="AC4" s="43" t="s">
        <v>110</v>
      </c>
      <c r="AD4">
        <v>650</v>
      </c>
    </row>
    <row r="5" spans="1:30" x14ac:dyDescent="0.35">
      <c r="A5" s="5" t="s">
        <v>13</v>
      </c>
      <c r="B5" s="6" t="s">
        <v>14</v>
      </c>
      <c r="C5" s="23">
        <v>9616.9545199940276</v>
      </c>
      <c r="D5" s="23">
        <v>9616.9545199940276</v>
      </c>
      <c r="E5" s="23">
        <v>1835.6734888492094</v>
      </c>
      <c r="F5" s="23">
        <v>2478.4310144029546</v>
      </c>
      <c r="G5" s="23">
        <v>3777.6242339038122</v>
      </c>
      <c r="H5" s="23">
        <v>3176.985757880966</v>
      </c>
      <c r="I5" s="23">
        <f>IFERROR(VLOOKUP($B5,$Q$2:$R$81,2,FALSE),"-")</f>
        <v>22509</v>
      </c>
      <c r="J5" s="23">
        <f>IFERROR(VLOOKUP($B5,$T$2:$U$81,2,FALSE),"-")</f>
        <v>18720</v>
      </c>
      <c r="K5" s="23">
        <f>IFERROR(VLOOKUP($B5,$W$2:$X$81,2,FALSE),"-")</f>
        <v>7503</v>
      </c>
      <c r="L5" s="23">
        <f>IFERROR(VLOOKUP($B5,$Z$2:$AA$81,2,FALSE),"-")</f>
        <v>7248</v>
      </c>
      <c r="M5" s="23">
        <f>IFERROR(VLOOKUP($B5,$AC$2:$AD$81,2,FALSE),"-")</f>
        <v>4392</v>
      </c>
      <c r="Q5" s="43" t="s">
        <v>110</v>
      </c>
      <c r="R5">
        <v>804</v>
      </c>
      <c r="T5" s="43" t="s">
        <v>110</v>
      </c>
      <c r="U5">
        <v>1612</v>
      </c>
      <c r="W5" s="43" t="s">
        <v>110</v>
      </c>
      <c r="X5">
        <v>1120</v>
      </c>
      <c r="Z5" s="43" t="s">
        <v>108</v>
      </c>
      <c r="AA5">
        <v>1849</v>
      </c>
      <c r="AC5" s="43" t="s">
        <v>108</v>
      </c>
      <c r="AD5">
        <v>42</v>
      </c>
    </row>
    <row r="6" spans="1:30" x14ac:dyDescent="0.35">
      <c r="A6" s="7" t="s">
        <v>15</v>
      </c>
      <c r="B6" s="8" t="s">
        <v>16</v>
      </c>
      <c r="C6" s="23">
        <v>11794.736199294728</v>
      </c>
      <c r="D6" s="23">
        <v>11794.736199294728</v>
      </c>
      <c r="E6" s="23">
        <v>1611.4810410648154</v>
      </c>
      <c r="F6" s="23">
        <v>2931.1670660444429</v>
      </c>
      <c r="G6" s="23">
        <v>3357.6629128800064</v>
      </c>
      <c r="H6" s="23">
        <v>3285.603697444682</v>
      </c>
      <c r="I6" s="23">
        <f>IFERROR(VLOOKUP($B6,$Q$2:$R$81,2,FALSE),"-")</f>
        <v>38070</v>
      </c>
      <c r="J6" s="23">
        <f>IFERROR(VLOOKUP($B6,$T$2:$U$81,2,FALSE),"-")</f>
        <v>27900</v>
      </c>
      <c r="K6" s="23">
        <f>IFERROR(VLOOKUP($B6,$W$2:$X$81,2,FALSE),"-")</f>
        <v>8460</v>
      </c>
      <c r="L6" s="23">
        <f>IFERROR(VLOOKUP($B6,$Z$2:$AA$81,2,FALSE),"-")</f>
        <v>5376</v>
      </c>
      <c r="M6" s="23">
        <f>IFERROR(VLOOKUP($B6,$AC$2:$AD$81,2,FALSE),"-")</f>
        <v>10500</v>
      </c>
      <c r="Q6" s="43" t="s">
        <v>108</v>
      </c>
      <c r="R6">
        <v>516</v>
      </c>
      <c r="T6" s="43" t="s">
        <v>108</v>
      </c>
      <c r="U6">
        <v>1589</v>
      </c>
      <c r="W6" s="43" t="s">
        <v>108</v>
      </c>
      <c r="X6">
        <v>1854</v>
      </c>
      <c r="Z6" s="43" t="s">
        <v>106</v>
      </c>
      <c r="AA6">
        <v>5999</v>
      </c>
      <c r="AC6" s="43" t="s">
        <v>106</v>
      </c>
      <c r="AD6">
        <v>3728</v>
      </c>
    </row>
    <row r="7" spans="1:30" x14ac:dyDescent="0.35">
      <c r="A7" s="7" t="s">
        <v>17</v>
      </c>
      <c r="B7" s="8" t="s">
        <v>18</v>
      </c>
      <c r="C7" s="23" t="s">
        <v>149</v>
      </c>
      <c r="D7" s="23" t="s">
        <v>149</v>
      </c>
      <c r="E7" s="23" t="s">
        <v>149</v>
      </c>
      <c r="F7" s="23" t="s">
        <v>149</v>
      </c>
      <c r="G7" s="23" t="s">
        <v>149</v>
      </c>
      <c r="H7" s="23" t="s">
        <v>149</v>
      </c>
      <c r="I7" s="23" t="str">
        <f>IFERROR(VLOOKUP($B7,$Q$2:$R$81,2,FALSE),"-")</f>
        <v>-</v>
      </c>
      <c r="J7" s="23" t="str">
        <f>IFERROR(VLOOKUP($B7,$T$2:$U$81,2,FALSE),"-")</f>
        <v>-</v>
      </c>
      <c r="K7" s="23" t="str">
        <f>IFERROR(VLOOKUP($B7,$W$2:$X$81,2,FALSE),"-")</f>
        <v>-</v>
      </c>
      <c r="L7" s="23" t="str">
        <f>IFERROR(VLOOKUP($B7,$Z$2:$AA$81,2,FALSE),"-")</f>
        <v>-</v>
      </c>
      <c r="M7" s="23" t="str">
        <f>IFERROR(VLOOKUP($B7,$AC$2:$AD$81,2,FALSE),"-")</f>
        <v>-</v>
      </c>
      <c r="Q7" s="43" t="s">
        <v>106</v>
      </c>
      <c r="R7">
        <v>1937</v>
      </c>
      <c r="T7" s="43" t="s">
        <v>106</v>
      </c>
      <c r="U7">
        <v>5386</v>
      </c>
      <c r="W7" s="43" t="s">
        <v>106</v>
      </c>
      <c r="X7">
        <v>9207</v>
      </c>
      <c r="Z7" s="43" t="s">
        <v>104</v>
      </c>
      <c r="AA7">
        <v>8737</v>
      </c>
      <c r="AC7" s="43" t="s">
        <v>104</v>
      </c>
      <c r="AD7">
        <v>5884</v>
      </c>
    </row>
    <row r="8" spans="1:30" x14ac:dyDescent="0.35">
      <c r="A8" s="5" t="s">
        <v>19</v>
      </c>
      <c r="B8" s="9" t="s">
        <v>20</v>
      </c>
      <c r="C8" s="23">
        <v>8249.0371934120412</v>
      </c>
      <c r="D8" s="23">
        <v>8249.0371934120412</v>
      </c>
      <c r="E8" s="23">
        <v>1958.9953019117318</v>
      </c>
      <c r="F8" s="23">
        <v>2279.3323755795723</v>
      </c>
      <c r="G8" s="23">
        <v>3134.1588906193365</v>
      </c>
      <c r="H8" s="23">
        <v>2624.2969471721512</v>
      </c>
      <c r="I8" s="23">
        <f>IFERROR(VLOOKUP($B8,$Q$2:$R$81,2,FALSE),"-")</f>
        <v>12936</v>
      </c>
      <c r="J8" s="23">
        <f>IFERROR(VLOOKUP($B8,$T$2:$U$81,2,FALSE),"-")</f>
        <v>14472</v>
      </c>
      <c r="K8" s="23">
        <f>IFERROR(VLOOKUP($B8,$W$2:$X$81,2,FALSE),"-")</f>
        <v>6434</v>
      </c>
      <c r="L8" s="23">
        <f>IFERROR(VLOOKUP($B8,$Z$2:$AA$81,2,FALSE),"-")</f>
        <v>5304</v>
      </c>
      <c r="M8" s="23">
        <f>IFERROR(VLOOKUP($B8,$AC$2:$AD$81,2,FALSE),"-")</f>
        <v>4032</v>
      </c>
      <c r="Q8" s="43" t="s">
        <v>104</v>
      </c>
      <c r="R8">
        <v>2554</v>
      </c>
      <c r="T8" s="43" t="s">
        <v>104</v>
      </c>
      <c r="U8">
        <v>8294</v>
      </c>
      <c r="W8" s="43" t="s">
        <v>104</v>
      </c>
      <c r="X8">
        <v>11966</v>
      </c>
      <c r="Z8" s="43" t="s">
        <v>70</v>
      </c>
      <c r="AA8">
        <v>3409</v>
      </c>
      <c r="AC8" s="43" t="s">
        <v>70</v>
      </c>
      <c r="AD8">
        <v>1738</v>
      </c>
    </row>
    <row r="9" spans="1:30" x14ac:dyDescent="0.35">
      <c r="A9" s="7" t="s">
        <v>21</v>
      </c>
      <c r="B9" s="8" t="s">
        <v>22</v>
      </c>
      <c r="C9" s="23">
        <v>17103.0089726597</v>
      </c>
      <c r="D9" s="23">
        <v>17103.0089726597</v>
      </c>
      <c r="E9" s="23">
        <v>399.59548775733094</v>
      </c>
      <c r="F9" s="23">
        <v>1559.7768035534505</v>
      </c>
      <c r="G9" s="23">
        <v>1492.750953735306</v>
      </c>
      <c r="H9" s="23">
        <v>1696.9434100159881</v>
      </c>
      <c r="I9" s="23">
        <f>IFERROR(VLOOKUP($B9,$Q$2:$R$81,2,FALSE),"-")</f>
        <v>27990</v>
      </c>
      <c r="J9" s="23">
        <f>IFERROR(VLOOKUP($B9,$T$2:$U$81,2,FALSE),"-")</f>
        <v>21780</v>
      </c>
      <c r="K9" s="23">
        <f>IFERROR(VLOOKUP($B9,$W$2:$X$81,2,FALSE),"-")</f>
        <v>5760</v>
      </c>
      <c r="L9" s="23">
        <f>IFERROR(VLOOKUP($B9,$Z$2:$AA$81,2,FALSE),"-")</f>
        <v>3193</v>
      </c>
      <c r="M9" s="23">
        <f>IFERROR(VLOOKUP($B9,$AC$2:$AD$81,2,FALSE),"-")</f>
        <v>2256</v>
      </c>
      <c r="Q9" s="43" t="s">
        <v>70</v>
      </c>
      <c r="R9">
        <v>3315</v>
      </c>
      <c r="T9" s="43" t="s">
        <v>70</v>
      </c>
      <c r="U9">
        <v>14112</v>
      </c>
      <c r="W9" s="43" t="s">
        <v>70</v>
      </c>
      <c r="X9">
        <v>5091</v>
      </c>
      <c r="Z9" s="43" t="s">
        <v>68</v>
      </c>
      <c r="AA9">
        <v>118752</v>
      </c>
      <c r="AC9" s="43" t="s">
        <v>68</v>
      </c>
      <c r="AD9">
        <v>22464</v>
      </c>
    </row>
    <row r="10" spans="1:30" x14ac:dyDescent="0.35">
      <c r="A10" s="5" t="s">
        <v>23</v>
      </c>
      <c r="B10" s="6" t="s">
        <v>24</v>
      </c>
      <c r="C10" s="23">
        <v>2049.6049415838202</v>
      </c>
      <c r="D10" s="23">
        <v>2049.6049415838202</v>
      </c>
      <c r="E10" s="23">
        <v>572.32429936855556</v>
      </c>
      <c r="F10" s="23">
        <v>458.61942652390616</v>
      </c>
      <c r="G10" s="23">
        <v>769.33672218044819</v>
      </c>
      <c r="H10" s="23">
        <v>924.83405221114504</v>
      </c>
      <c r="I10" s="23">
        <f>IFERROR(VLOOKUP($B10,$Q$2:$R$81,2,FALSE),"-")</f>
        <v>3408</v>
      </c>
      <c r="J10" s="23">
        <f>IFERROR(VLOOKUP($B10,$T$2:$U$81,2,FALSE),"-")</f>
        <v>3360</v>
      </c>
      <c r="K10" s="23">
        <f>IFERROR(VLOOKUP($B10,$W$2:$X$81,2,FALSE),"-")</f>
        <v>2482</v>
      </c>
      <c r="L10" s="23">
        <f>IFERROR(VLOOKUP($B10,$Z$2:$AA$81,2,FALSE),"-")</f>
        <v>2016</v>
      </c>
      <c r="M10" s="23">
        <f>IFERROR(VLOOKUP($B10,$AC$2:$AD$81,2,FALSE),"-")</f>
        <v>1632</v>
      </c>
      <c r="Q10" s="43" t="s">
        <v>68</v>
      </c>
      <c r="R10">
        <v>54624</v>
      </c>
      <c r="T10" s="43" t="s">
        <v>68</v>
      </c>
      <c r="U10">
        <v>92874</v>
      </c>
      <c r="W10" s="43" t="s">
        <v>68</v>
      </c>
      <c r="X10">
        <v>129640</v>
      </c>
      <c r="Z10" s="43" t="s">
        <v>72</v>
      </c>
      <c r="AA10">
        <v>21094</v>
      </c>
      <c r="AC10" s="43" t="s">
        <v>72</v>
      </c>
      <c r="AD10">
        <v>19808</v>
      </c>
    </row>
    <row r="11" spans="1:30" x14ac:dyDescent="0.35">
      <c r="A11" s="7" t="s">
        <v>25</v>
      </c>
      <c r="B11" s="8" t="s">
        <v>26</v>
      </c>
      <c r="C11" s="23">
        <v>414.15458191916076</v>
      </c>
      <c r="D11" s="23">
        <v>414.15458191916076</v>
      </c>
      <c r="E11" s="23">
        <v>238.53627769099029</v>
      </c>
      <c r="F11" s="23">
        <v>317.63562685460857</v>
      </c>
      <c r="G11" s="23">
        <v>200.41365046535677</v>
      </c>
      <c r="H11" s="23">
        <v>297.38692134235311</v>
      </c>
      <c r="I11" s="23">
        <f>IFERROR(VLOOKUP($B11,$Q$2:$R$81,2,FALSE),"-")</f>
        <v>6597</v>
      </c>
      <c r="J11" s="23">
        <f>IFERROR(VLOOKUP($B11,$T$2:$U$81,2,FALSE),"-")</f>
        <v>11790</v>
      </c>
      <c r="K11" s="23">
        <f>IFERROR(VLOOKUP($B11,$W$2:$X$81,2,FALSE),"-")</f>
        <v>11052</v>
      </c>
      <c r="L11" s="23">
        <f>IFERROR(VLOOKUP($B11,$Z$2:$AA$81,2,FALSE),"-")</f>
        <v>12600</v>
      </c>
      <c r="M11" s="23">
        <f>IFERROR(VLOOKUP($B11,$AC$2:$AD$81,2,FALSE),"-")</f>
        <v>5940</v>
      </c>
      <c r="Q11" s="43" t="s">
        <v>72</v>
      </c>
      <c r="R11">
        <v>6531</v>
      </c>
      <c r="T11" s="43" t="s">
        <v>72</v>
      </c>
      <c r="U11">
        <v>9462</v>
      </c>
      <c r="W11" s="43" t="s">
        <v>72</v>
      </c>
      <c r="X11">
        <v>14944</v>
      </c>
      <c r="Z11" s="43" t="s">
        <v>53</v>
      </c>
      <c r="AA11">
        <v>16472</v>
      </c>
      <c r="AC11" s="43" t="s">
        <v>53</v>
      </c>
      <c r="AD11">
        <v>17332</v>
      </c>
    </row>
    <row r="12" spans="1:30" x14ac:dyDescent="0.35">
      <c r="A12" s="10" t="s">
        <v>27</v>
      </c>
      <c r="B12" s="6" t="s">
        <v>28</v>
      </c>
      <c r="C12" s="23">
        <v>15179.702496266485</v>
      </c>
      <c r="D12" s="23">
        <v>15179.702496266485</v>
      </c>
      <c r="E12" s="23">
        <v>2998.9971909611327</v>
      </c>
      <c r="F12" s="23">
        <v>3425.2604253646614</v>
      </c>
      <c r="G12" s="23">
        <v>4001.48401236993</v>
      </c>
      <c r="H12" s="23">
        <v>3069.1696632151593</v>
      </c>
      <c r="I12" s="23">
        <f>IFERROR(VLOOKUP($B12,$Q$2:$R$81,2,FALSE),"-")</f>
        <v>9936</v>
      </c>
      <c r="J12" s="23">
        <f>IFERROR(VLOOKUP($B12,$T$2:$U$81,2,FALSE),"-")</f>
        <v>13820</v>
      </c>
      <c r="K12" s="23">
        <f>IFERROR(VLOOKUP($B12,$W$2:$X$81,2,FALSE),"-")</f>
        <v>5366</v>
      </c>
      <c r="L12" s="23">
        <f>IFERROR(VLOOKUP($B12,$Z$2:$AA$81,2,FALSE),"-")</f>
        <v>6960</v>
      </c>
      <c r="M12" s="23">
        <f>IFERROR(VLOOKUP($B12,$AC$2:$AD$81,2,FALSE),"-")</f>
        <v>5620</v>
      </c>
      <c r="Q12" s="43" t="s">
        <v>53</v>
      </c>
      <c r="R12">
        <v>5824</v>
      </c>
      <c r="T12" s="43" t="s">
        <v>53</v>
      </c>
      <c r="U12">
        <v>9376</v>
      </c>
      <c r="W12" s="43" t="s">
        <v>53</v>
      </c>
      <c r="X12">
        <v>5330</v>
      </c>
      <c r="Z12" s="43" t="s">
        <v>51</v>
      </c>
      <c r="AA12">
        <v>186262</v>
      </c>
      <c r="AC12" s="43" t="s">
        <v>51</v>
      </c>
      <c r="AD12">
        <v>236618</v>
      </c>
    </row>
    <row r="13" spans="1:30" x14ac:dyDescent="0.35">
      <c r="A13" s="10" t="s">
        <v>29</v>
      </c>
      <c r="B13" s="6" t="s">
        <v>30</v>
      </c>
      <c r="C13" s="23" t="s">
        <v>149</v>
      </c>
      <c r="D13" s="23" t="s">
        <v>149</v>
      </c>
      <c r="E13" s="23">
        <v>162.5</v>
      </c>
      <c r="F13" s="23">
        <v>85.90308370044049</v>
      </c>
      <c r="G13" s="23">
        <v>174.96528466574142</v>
      </c>
      <c r="H13" s="23">
        <v>214.35066520200158</v>
      </c>
      <c r="I13" s="23">
        <f t="shared" ref="I13:I19" si="0">IFERROR(VLOOKUP($B13,$Q$2:$R$81,2,FALSE),"-")</f>
        <v>1116</v>
      </c>
      <c r="J13" s="23">
        <f t="shared" ref="J13:J19" si="1">IFERROR(VLOOKUP($B13,$T$2:$U$81,2,FALSE),"-")</f>
        <v>3220</v>
      </c>
      <c r="K13" s="23">
        <f t="shared" ref="K13:K19" si="2">IFERROR(VLOOKUP($B13,$W$2:$X$81,2,FALSE),"-")</f>
        <v>1144</v>
      </c>
      <c r="L13" s="23">
        <f t="shared" ref="L13:L19" si="3">IFERROR(VLOOKUP($B13,$Z$2:$AA$81,2,FALSE),"-")</f>
        <v>240</v>
      </c>
      <c r="M13" s="23">
        <f t="shared" ref="M13:M19" si="4">IFERROR(VLOOKUP($B13,$AC$2:$AD$81,2,FALSE),"-")</f>
        <v>320</v>
      </c>
      <c r="Q13" s="43" t="s">
        <v>51</v>
      </c>
      <c r="R13">
        <v>55959</v>
      </c>
      <c r="T13" s="43" t="s">
        <v>51</v>
      </c>
      <c r="U13">
        <v>123696</v>
      </c>
      <c r="W13" s="43" t="s">
        <v>51</v>
      </c>
      <c r="X13">
        <v>190300</v>
      </c>
      <c r="Z13" s="43" t="s">
        <v>55</v>
      </c>
      <c r="AA13">
        <v>5400</v>
      </c>
      <c r="AC13" s="43" t="s">
        <v>55</v>
      </c>
      <c r="AD13">
        <v>6164</v>
      </c>
    </row>
    <row r="14" spans="1:30" x14ac:dyDescent="0.35">
      <c r="A14" s="10" t="s">
        <v>31</v>
      </c>
      <c r="B14" s="6" t="s">
        <v>32</v>
      </c>
      <c r="C14" s="23" t="s">
        <v>149</v>
      </c>
      <c r="D14" s="23" t="s">
        <v>149</v>
      </c>
      <c r="E14" s="23">
        <v>140</v>
      </c>
      <c r="F14" s="23">
        <v>97.172236503855984</v>
      </c>
      <c r="G14" s="23">
        <v>140.80496958716211</v>
      </c>
      <c r="H14" s="23">
        <v>194.94330967630253</v>
      </c>
      <c r="I14" s="23">
        <f t="shared" si="0"/>
        <v>916</v>
      </c>
      <c r="J14" s="23">
        <f t="shared" si="1"/>
        <v>2371</v>
      </c>
      <c r="K14" s="23">
        <f t="shared" si="2"/>
        <v>977</v>
      </c>
      <c r="L14" s="23">
        <f t="shared" si="3"/>
        <v>300</v>
      </c>
      <c r="M14" s="23">
        <f t="shared" si="4"/>
        <v>60</v>
      </c>
      <c r="Q14" s="43" t="s">
        <v>55</v>
      </c>
      <c r="R14">
        <v>14283</v>
      </c>
      <c r="T14" s="43" t="s">
        <v>55</v>
      </c>
      <c r="U14">
        <v>22597</v>
      </c>
      <c r="W14" s="43" t="s">
        <v>55</v>
      </c>
      <c r="X14">
        <v>20808</v>
      </c>
      <c r="Z14" s="43" t="s">
        <v>61</v>
      </c>
      <c r="AA14">
        <v>103693</v>
      </c>
      <c r="AC14" s="43" t="s">
        <v>61</v>
      </c>
      <c r="AD14">
        <v>104634</v>
      </c>
    </row>
    <row r="15" spans="1:30" x14ac:dyDescent="0.35">
      <c r="A15" s="10" t="s">
        <v>33</v>
      </c>
      <c r="B15" s="8" t="s">
        <v>34</v>
      </c>
      <c r="C15" s="23">
        <v>2923.3526473710467</v>
      </c>
      <c r="D15" s="23">
        <v>2923.3526473710467</v>
      </c>
      <c r="E15" s="23">
        <v>663.347645758981</v>
      </c>
      <c r="F15" s="23">
        <v>616.0429199444701</v>
      </c>
      <c r="G15" s="23">
        <v>555.29969052357194</v>
      </c>
      <c r="H15" s="23">
        <v>422.44313083471945</v>
      </c>
      <c r="I15" s="23">
        <f t="shared" si="0"/>
        <v>750</v>
      </c>
      <c r="J15" s="23">
        <f t="shared" si="1"/>
        <v>2880</v>
      </c>
      <c r="K15" s="23">
        <f t="shared" si="2"/>
        <v>3660</v>
      </c>
      <c r="L15" s="23">
        <f t="shared" si="3"/>
        <v>1920</v>
      </c>
      <c r="M15" s="23">
        <f t="shared" si="4"/>
        <v>420</v>
      </c>
      <c r="Q15" s="43" t="s">
        <v>61</v>
      </c>
      <c r="R15">
        <v>23189</v>
      </c>
      <c r="T15" s="43" t="s">
        <v>61</v>
      </c>
      <c r="U15">
        <v>51176</v>
      </c>
      <c r="W15" s="43" t="s">
        <v>61</v>
      </c>
      <c r="X15">
        <v>85650</v>
      </c>
      <c r="Z15" s="43" t="s">
        <v>57</v>
      </c>
      <c r="AA15">
        <v>8005</v>
      </c>
      <c r="AC15" s="43" t="s">
        <v>57</v>
      </c>
      <c r="AD15">
        <v>2508</v>
      </c>
    </row>
    <row r="16" spans="1:30" x14ac:dyDescent="0.35">
      <c r="A16" s="10" t="s">
        <v>35</v>
      </c>
      <c r="B16" s="8" t="s">
        <v>36</v>
      </c>
      <c r="C16" s="23">
        <v>2136.8518236274449</v>
      </c>
      <c r="D16" s="23">
        <v>2136.8518236274449</v>
      </c>
      <c r="E16" s="23">
        <v>563.57860505592771</v>
      </c>
      <c r="F16" s="23">
        <v>422.31179300481062</v>
      </c>
      <c r="G16" s="23">
        <v>368.43040349650192</v>
      </c>
      <c r="H16" s="23">
        <v>306.62703370237932</v>
      </c>
      <c r="I16" s="23">
        <f t="shared" si="0"/>
        <v>1170</v>
      </c>
      <c r="J16" s="23">
        <f t="shared" si="1"/>
        <v>2580</v>
      </c>
      <c r="K16" s="23">
        <f t="shared" si="2"/>
        <v>2400</v>
      </c>
      <c r="L16" s="23">
        <f t="shared" si="3"/>
        <v>960</v>
      </c>
      <c r="M16" s="23">
        <f t="shared" si="4"/>
        <v>480</v>
      </c>
      <c r="Q16" s="43" t="s">
        <v>57</v>
      </c>
      <c r="R16">
        <v>5688</v>
      </c>
      <c r="T16" s="43" t="s">
        <v>57</v>
      </c>
      <c r="U16">
        <v>8695</v>
      </c>
      <c r="W16" s="43" t="s">
        <v>57</v>
      </c>
      <c r="X16">
        <v>17226</v>
      </c>
      <c r="Z16" s="43" t="s">
        <v>168</v>
      </c>
      <c r="AC16" s="43" t="s">
        <v>168</v>
      </c>
      <c r="AD16">
        <v>1280</v>
      </c>
    </row>
    <row r="17" spans="1:30" x14ac:dyDescent="0.35">
      <c r="A17" s="10" t="s">
        <v>37</v>
      </c>
      <c r="B17" s="6" t="s">
        <v>38</v>
      </c>
      <c r="C17" s="23">
        <v>6682.0498628813903</v>
      </c>
      <c r="D17" s="23">
        <v>6682.0498628813903</v>
      </c>
      <c r="E17" s="23">
        <v>1602.0780289892903</v>
      </c>
      <c r="F17" s="23">
        <v>1951.8906191485216</v>
      </c>
      <c r="G17" s="23">
        <v>3141.9704169082261</v>
      </c>
      <c r="H17" s="23">
        <v>1998.1354354573893</v>
      </c>
      <c r="I17" s="23">
        <f t="shared" si="0"/>
        <v>9028</v>
      </c>
      <c r="J17" s="23">
        <f t="shared" si="1"/>
        <v>20864</v>
      </c>
      <c r="K17" s="23">
        <f t="shared" si="2"/>
        <v>34184</v>
      </c>
      <c r="L17" s="23">
        <f t="shared" si="3"/>
        <v>32640</v>
      </c>
      <c r="M17" s="23">
        <f t="shared" si="4"/>
        <v>15782</v>
      </c>
      <c r="Q17" s="43" t="s">
        <v>112</v>
      </c>
      <c r="R17">
        <v>1713</v>
      </c>
      <c r="T17" s="43" t="s">
        <v>112</v>
      </c>
      <c r="U17">
        <v>3352</v>
      </c>
      <c r="W17" s="43" t="s">
        <v>112</v>
      </c>
      <c r="X17">
        <v>4004</v>
      </c>
      <c r="Z17" s="43" t="s">
        <v>112</v>
      </c>
      <c r="AA17">
        <v>3304</v>
      </c>
      <c r="AC17" s="43" t="s">
        <v>112</v>
      </c>
      <c r="AD17">
        <v>2956</v>
      </c>
    </row>
    <row r="18" spans="1:30" x14ac:dyDescent="0.35">
      <c r="A18" s="5" t="s">
        <v>39</v>
      </c>
      <c r="B18" s="6" t="s">
        <v>40</v>
      </c>
      <c r="C18" s="23">
        <v>227.76096087077707</v>
      </c>
      <c r="D18" s="23">
        <v>227.76096087077707</v>
      </c>
      <c r="E18" s="23">
        <v>82.123098201936372</v>
      </c>
      <c r="F18" s="23">
        <v>110.95305832147936</v>
      </c>
      <c r="G18" s="23">
        <v>142.99514688567913</v>
      </c>
      <c r="H18" s="23">
        <v>107.19066147859924</v>
      </c>
      <c r="I18" s="23">
        <f t="shared" si="0"/>
        <v>640</v>
      </c>
      <c r="J18" s="23">
        <f t="shared" si="1"/>
        <v>960</v>
      </c>
      <c r="K18" s="23">
        <f t="shared" si="2"/>
        <v>1440</v>
      </c>
      <c r="L18" s="23">
        <f t="shared" si="3"/>
        <v>1700</v>
      </c>
      <c r="M18" s="23">
        <f t="shared" si="4"/>
        <v>900</v>
      </c>
      <c r="Q18" s="43" t="s">
        <v>63</v>
      </c>
      <c r="R18">
        <v>3758</v>
      </c>
      <c r="T18" s="43" t="s">
        <v>63</v>
      </c>
      <c r="U18">
        <v>4142</v>
      </c>
      <c r="W18" s="43" t="s">
        <v>63</v>
      </c>
      <c r="X18">
        <v>5144</v>
      </c>
      <c r="Z18" s="43" t="s">
        <v>63</v>
      </c>
      <c r="AA18">
        <v>4620</v>
      </c>
      <c r="AC18" s="43" t="s">
        <v>63</v>
      </c>
      <c r="AD18">
        <v>7722</v>
      </c>
    </row>
    <row r="19" spans="1:30" x14ac:dyDescent="0.35">
      <c r="A19" s="7" t="s">
        <v>41</v>
      </c>
      <c r="B19" s="8" t="s">
        <v>42</v>
      </c>
      <c r="C19" s="23">
        <v>1942.5507971683935</v>
      </c>
      <c r="D19" s="23">
        <v>1942.5507971683935</v>
      </c>
      <c r="E19" s="23">
        <v>355.05574134826452</v>
      </c>
      <c r="F19" s="23">
        <v>368.32500465874767</v>
      </c>
      <c r="G19" s="23">
        <v>420.93557701478102</v>
      </c>
      <c r="H19" s="23">
        <v>495.60305880420657</v>
      </c>
      <c r="I19" s="23">
        <f t="shared" si="0"/>
        <v>4277</v>
      </c>
      <c r="J19" s="23">
        <f t="shared" si="1"/>
        <v>2208</v>
      </c>
      <c r="K19" s="23">
        <f t="shared" si="2"/>
        <v>3434</v>
      </c>
      <c r="L19" s="23">
        <f t="shared" si="3"/>
        <v>10400</v>
      </c>
      <c r="M19" s="23">
        <f t="shared" si="4"/>
        <v>8128</v>
      </c>
      <c r="Q19" s="43" t="s">
        <v>65</v>
      </c>
      <c r="R19">
        <v>230</v>
      </c>
      <c r="T19" s="43" t="s">
        <v>65</v>
      </c>
      <c r="U19">
        <v>360</v>
      </c>
      <c r="W19" s="43" t="s">
        <v>141</v>
      </c>
      <c r="X19">
        <v>384</v>
      </c>
      <c r="Z19" s="43" t="s">
        <v>141</v>
      </c>
      <c r="AA19">
        <v>744</v>
      </c>
      <c r="AC19" s="43" t="s">
        <v>65</v>
      </c>
      <c r="AD19">
        <v>336</v>
      </c>
    </row>
    <row r="20" spans="1:30" x14ac:dyDescent="0.35">
      <c r="A20" s="3" t="s">
        <v>43</v>
      </c>
      <c r="B20" s="4"/>
      <c r="C20" s="4"/>
      <c r="D20" s="4"/>
      <c r="E20" s="4"/>
      <c r="F20" s="4"/>
      <c r="G20" s="4"/>
      <c r="H20" s="24"/>
      <c r="I20" s="4"/>
      <c r="J20" s="4"/>
      <c r="K20" s="4"/>
      <c r="L20" s="4"/>
      <c r="M20" s="4"/>
      <c r="Q20" s="43" t="s">
        <v>45</v>
      </c>
      <c r="R20">
        <v>19079</v>
      </c>
      <c r="T20" s="43" t="s">
        <v>45</v>
      </c>
      <c r="U20">
        <v>40608</v>
      </c>
      <c r="W20" s="43" t="s">
        <v>65</v>
      </c>
      <c r="X20">
        <v>480</v>
      </c>
      <c r="Z20" s="43" t="s">
        <v>65</v>
      </c>
      <c r="AA20">
        <v>312</v>
      </c>
      <c r="AC20" s="43" t="s">
        <v>45</v>
      </c>
      <c r="AD20">
        <v>7872</v>
      </c>
    </row>
    <row r="21" spans="1:30" x14ac:dyDescent="0.35">
      <c r="A21" s="5" t="s">
        <v>44</v>
      </c>
      <c r="B21" s="6" t="s">
        <v>45</v>
      </c>
      <c r="C21" s="23">
        <v>14983.439801420262</v>
      </c>
      <c r="D21" s="23">
        <v>14983.439801420262</v>
      </c>
      <c r="E21" s="23">
        <v>5038.3310867200216</v>
      </c>
      <c r="F21" s="23">
        <v>4741.6134758653152</v>
      </c>
      <c r="G21" s="23">
        <v>3224.4522883102713</v>
      </c>
      <c r="H21" s="23">
        <v>2995.7337828646828</v>
      </c>
      <c r="I21" s="23">
        <f t="shared" ref="I21:I75" si="5">IFERROR(VLOOKUP($B21,$Q$2:$R$81,2,FALSE),"-")</f>
        <v>19079</v>
      </c>
      <c r="J21" s="23">
        <f t="shared" ref="J21:J75" si="6">IFERROR(VLOOKUP($B21,$T$2:$U$81,2,FALSE),"-")</f>
        <v>40608</v>
      </c>
      <c r="K21" s="23">
        <f t="shared" ref="K21:K75" si="7">IFERROR(VLOOKUP($B21,$W$2:$X$81,2,FALSE),"-")</f>
        <v>16738</v>
      </c>
      <c r="L21" s="23">
        <f t="shared" ref="L21:L75" si="8">IFERROR(VLOOKUP($B21,$Z$2:$AA$81,2,FALSE),"-")</f>
        <v>11520</v>
      </c>
      <c r="M21" s="23">
        <f t="shared" ref="M21:M75" si="9">IFERROR(VLOOKUP($B21,$AC$2:$AD$81,2,FALSE),"-")</f>
        <v>7872</v>
      </c>
      <c r="Q21" s="43" t="s">
        <v>49</v>
      </c>
      <c r="R21">
        <v>14271</v>
      </c>
      <c r="T21" s="43" t="s">
        <v>49</v>
      </c>
      <c r="U21">
        <v>12552</v>
      </c>
      <c r="W21" s="43" t="s">
        <v>181</v>
      </c>
      <c r="X21">
        <v>16</v>
      </c>
      <c r="Z21" s="43" t="s">
        <v>45</v>
      </c>
      <c r="AA21">
        <v>11520</v>
      </c>
      <c r="AC21" s="43" t="s">
        <v>49</v>
      </c>
      <c r="AD21">
        <v>5088</v>
      </c>
    </row>
    <row r="22" spans="1:30" x14ac:dyDescent="0.35">
      <c r="A22" s="5" t="s">
        <v>46</v>
      </c>
      <c r="B22" s="6" t="s">
        <v>47</v>
      </c>
      <c r="C22" s="23">
        <v>650</v>
      </c>
      <c r="D22" s="23">
        <v>650</v>
      </c>
      <c r="E22" s="23">
        <v>150</v>
      </c>
      <c r="F22" s="23">
        <v>33.472803347280362</v>
      </c>
      <c r="G22" s="23">
        <v>0</v>
      </c>
      <c r="H22" s="23">
        <v>61.307901907357</v>
      </c>
      <c r="I22" s="23">
        <f t="shared" si="5"/>
        <v>228</v>
      </c>
      <c r="J22" s="23">
        <f t="shared" si="6"/>
        <v>336</v>
      </c>
      <c r="K22" s="23">
        <f t="shared" si="7"/>
        <v>324</v>
      </c>
      <c r="L22" s="23">
        <f t="shared" si="8"/>
        <v>420</v>
      </c>
      <c r="M22" s="23">
        <f t="shared" si="9"/>
        <v>102</v>
      </c>
      <c r="Q22" s="43" t="s">
        <v>47</v>
      </c>
      <c r="R22">
        <v>228</v>
      </c>
      <c r="T22" s="43" t="s">
        <v>47</v>
      </c>
      <c r="U22">
        <v>336</v>
      </c>
      <c r="W22" s="43" t="s">
        <v>45</v>
      </c>
      <c r="X22">
        <v>16738</v>
      </c>
      <c r="Z22" s="43" t="s">
        <v>49</v>
      </c>
      <c r="AA22">
        <v>8736</v>
      </c>
      <c r="AC22" s="43" t="s">
        <v>47</v>
      </c>
      <c r="AD22">
        <v>102</v>
      </c>
    </row>
    <row r="23" spans="1:30" x14ac:dyDescent="0.35">
      <c r="A23" s="10" t="s">
        <v>48</v>
      </c>
      <c r="B23" s="6" t="s">
        <v>49</v>
      </c>
      <c r="C23" s="23">
        <v>10767.992181021993</v>
      </c>
      <c r="D23" s="23">
        <v>10767.992181021993</v>
      </c>
      <c r="E23" s="23">
        <v>2790.5549914754424</v>
      </c>
      <c r="F23" s="23">
        <v>1955.3552200370495</v>
      </c>
      <c r="G23" s="23">
        <v>3070.785420752889</v>
      </c>
      <c r="H23" s="23">
        <v>1463.4292888944428</v>
      </c>
      <c r="I23" s="23">
        <f t="shared" si="5"/>
        <v>14271</v>
      </c>
      <c r="J23" s="23">
        <f t="shared" si="6"/>
        <v>12552</v>
      </c>
      <c r="K23" s="23">
        <f t="shared" si="7"/>
        <v>11049</v>
      </c>
      <c r="L23" s="23">
        <f t="shared" si="8"/>
        <v>8736</v>
      </c>
      <c r="M23" s="23">
        <f t="shared" si="9"/>
        <v>5088</v>
      </c>
      <c r="Q23" s="43" t="s">
        <v>59</v>
      </c>
      <c r="R23">
        <v>7403</v>
      </c>
      <c r="T23" s="43" t="s">
        <v>59</v>
      </c>
      <c r="U23">
        <v>8928</v>
      </c>
      <c r="W23" s="43" t="s">
        <v>49</v>
      </c>
      <c r="X23">
        <v>11049</v>
      </c>
      <c r="Z23" s="43" t="s">
        <v>47</v>
      </c>
      <c r="AA23">
        <v>420</v>
      </c>
      <c r="AC23" s="43" t="s">
        <v>59</v>
      </c>
      <c r="AD23">
        <v>21410</v>
      </c>
    </row>
    <row r="24" spans="1:30" x14ac:dyDescent="0.35">
      <c r="A24" s="5" t="s">
        <v>50</v>
      </c>
      <c r="B24" s="6" t="s">
        <v>51</v>
      </c>
      <c r="C24" s="23">
        <v>47442.911273615697</v>
      </c>
      <c r="D24" s="23">
        <v>47442.911273615697</v>
      </c>
      <c r="E24" s="23">
        <v>5849.2702020124161</v>
      </c>
      <c r="F24" s="23">
        <v>5168.3824389551628</v>
      </c>
      <c r="G24" s="23">
        <v>7917.927275678916</v>
      </c>
      <c r="H24" s="23">
        <v>7339.5976482408814</v>
      </c>
      <c r="I24" s="23">
        <f t="shared" si="5"/>
        <v>55959</v>
      </c>
      <c r="J24" s="23">
        <f t="shared" si="6"/>
        <v>123696</v>
      </c>
      <c r="K24" s="23">
        <f t="shared" si="7"/>
        <v>190300</v>
      </c>
      <c r="L24" s="23">
        <f t="shared" si="8"/>
        <v>186262</v>
      </c>
      <c r="M24" s="23">
        <f t="shared" si="9"/>
        <v>236618</v>
      </c>
      <c r="Q24" s="43" t="s">
        <v>179</v>
      </c>
      <c r="R24">
        <v>1</v>
      </c>
      <c r="T24" s="43" t="s">
        <v>76</v>
      </c>
      <c r="U24">
        <v>2430</v>
      </c>
      <c r="W24" s="43" t="s">
        <v>47</v>
      </c>
      <c r="X24">
        <v>324</v>
      </c>
      <c r="Z24" s="43" t="s">
        <v>59</v>
      </c>
      <c r="AA24">
        <v>17064</v>
      </c>
      <c r="AC24" s="43" t="s">
        <v>179</v>
      </c>
      <c r="AD24">
        <v>1</v>
      </c>
    </row>
    <row r="25" spans="1:30" x14ac:dyDescent="0.35">
      <c r="A25" s="5" t="s">
        <v>52</v>
      </c>
      <c r="B25" s="6" t="s">
        <v>53</v>
      </c>
      <c r="C25" s="23">
        <v>3005.6884153386654</v>
      </c>
      <c r="D25" s="23">
        <v>3005.6884153386654</v>
      </c>
      <c r="E25" s="23">
        <v>264.28346286622752</v>
      </c>
      <c r="F25" s="23">
        <v>258.16110705246103</v>
      </c>
      <c r="G25" s="23">
        <v>352.39666309601785</v>
      </c>
      <c r="H25" s="23">
        <v>306.36155489976585</v>
      </c>
      <c r="I25" s="23">
        <f t="shared" si="5"/>
        <v>5824</v>
      </c>
      <c r="J25" s="23">
        <f t="shared" si="6"/>
        <v>9376</v>
      </c>
      <c r="K25" s="23">
        <f t="shared" si="7"/>
        <v>5330</v>
      </c>
      <c r="L25" s="23">
        <f t="shared" si="8"/>
        <v>16472</v>
      </c>
      <c r="M25" s="23">
        <f t="shared" si="9"/>
        <v>17332</v>
      </c>
      <c r="Q25" s="43" t="s">
        <v>76</v>
      </c>
      <c r="R25">
        <v>1468</v>
      </c>
      <c r="T25" s="43" t="s">
        <v>78</v>
      </c>
      <c r="U25">
        <v>90</v>
      </c>
      <c r="W25" s="43" t="s">
        <v>59</v>
      </c>
      <c r="X25">
        <v>11520</v>
      </c>
      <c r="Z25" s="43" t="s">
        <v>179</v>
      </c>
      <c r="AC25" s="43" t="s">
        <v>76</v>
      </c>
      <c r="AD25">
        <v>1040</v>
      </c>
    </row>
    <row r="26" spans="1:30" x14ac:dyDescent="0.35">
      <c r="A26" s="10" t="s">
        <v>54</v>
      </c>
      <c r="B26" s="6" t="s">
        <v>55</v>
      </c>
      <c r="C26" s="23">
        <v>8615.7561964619799</v>
      </c>
      <c r="D26" s="23">
        <v>8615.7561964619799</v>
      </c>
      <c r="E26" s="23">
        <v>1362.3709944072996</v>
      </c>
      <c r="F26" s="23">
        <v>1281.366898425809</v>
      </c>
      <c r="G26" s="23">
        <v>1115.8079239766423</v>
      </c>
      <c r="H26" s="23">
        <v>829.91842321820207</v>
      </c>
      <c r="I26" s="23">
        <f t="shared" si="5"/>
        <v>14283</v>
      </c>
      <c r="J26" s="23">
        <f t="shared" si="6"/>
        <v>22597</v>
      </c>
      <c r="K26" s="23">
        <f t="shared" si="7"/>
        <v>20808</v>
      </c>
      <c r="L26" s="23">
        <f t="shared" si="8"/>
        <v>5400</v>
      </c>
      <c r="M26" s="23">
        <f t="shared" si="9"/>
        <v>6164</v>
      </c>
      <c r="Q26" s="43" t="s">
        <v>78</v>
      </c>
      <c r="R26">
        <v>110</v>
      </c>
      <c r="T26" s="43" t="s">
        <v>80</v>
      </c>
      <c r="U26">
        <v>120</v>
      </c>
      <c r="W26" s="43" t="s">
        <v>76</v>
      </c>
      <c r="X26">
        <v>1319</v>
      </c>
      <c r="Z26" s="43" t="s">
        <v>76</v>
      </c>
      <c r="AA26">
        <v>1120</v>
      </c>
      <c r="AC26" s="43" t="s">
        <v>82</v>
      </c>
      <c r="AD26">
        <v>860</v>
      </c>
    </row>
    <row r="27" spans="1:30" x14ac:dyDescent="0.35">
      <c r="A27" s="10" t="s">
        <v>56</v>
      </c>
      <c r="B27" s="11" t="s">
        <v>57</v>
      </c>
      <c r="C27" s="23">
        <v>3080.6594892308349</v>
      </c>
      <c r="D27" s="23">
        <v>3080.6594892308349</v>
      </c>
      <c r="E27" s="23">
        <v>491.57775460273683</v>
      </c>
      <c r="F27" s="23">
        <v>504.75296946358236</v>
      </c>
      <c r="G27" s="23">
        <v>552.97133545607392</v>
      </c>
      <c r="H27" s="23">
        <v>565.51657845236286</v>
      </c>
      <c r="I27" s="23">
        <f t="shared" si="5"/>
        <v>5688</v>
      </c>
      <c r="J27" s="23">
        <f t="shared" si="6"/>
        <v>8695</v>
      </c>
      <c r="K27" s="23">
        <f t="shared" si="7"/>
        <v>17226</v>
      </c>
      <c r="L27" s="23">
        <f t="shared" si="8"/>
        <v>8005</v>
      </c>
      <c r="M27" s="23">
        <f t="shared" si="9"/>
        <v>2508</v>
      </c>
      <c r="Q27" s="43" t="s">
        <v>80</v>
      </c>
      <c r="R27">
        <v>100</v>
      </c>
      <c r="T27" s="43" t="s">
        <v>82</v>
      </c>
      <c r="U27">
        <v>1730</v>
      </c>
      <c r="W27" s="43" t="s">
        <v>78</v>
      </c>
      <c r="X27">
        <v>30</v>
      </c>
      <c r="Z27" s="43" t="s">
        <v>82</v>
      </c>
      <c r="AA27">
        <v>971</v>
      </c>
      <c r="AC27" s="43" t="s">
        <v>74</v>
      </c>
      <c r="AD27">
        <v>200</v>
      </c>
    </row>
    <row r="28" spans="1:30" x14ac:dyDescent="0.35">
      <c r="A28" s="10" t="s">
        <v>58</v>
      </c>
      <c r="B28" s="11" t="s">
        <v>59</v>
      </c>
      <c r="C28" s="23">
        <v>864.56946377574434</v>
      </c>
      <c r="D28" s="23">
        <v>864.56946377574434</v>
      </c>
      <c r="E28" s="23">
        <v>123.15573348650373</v>
      </c>
      <c r="F28" s="23">
        <v>265.47724704245149</v>
      </c>
      <c r="G28" s="23">
        <v>361.1802421225799</v>
      </c>
      <c r="H28" s="23">
        <v>488.92362110804896</v>
      </c>
      <c r="I28" s="23">
        <f t="shared" si="5"/>
        <v>7403</v>
      </c>
      <c r="J28" s="23">
        <f t="shared" si="6"/>
        <v>8928</v>
      </c>
      <c r="K28" s="23">
        <f t="shared" si="7"/>
        <v>11520</v>
      </c>
      <c r="L28" s="23">
        <f t="shared" si="8"/>
        <v>17064</v>
      </c>
      <c r="M28" s="23">
        <f t="shared" si="9"/>
        <v>21410</v>
      </c>
      <c r="Q28" s="43" t="s">
        <v>82</v>
      </c>
      <c r="R28">
        <v>1340</v>
      </c>
      <c r="T28" s="43" t="s">
        <v>74</v>
      </c>
      <c r="U28">
        <v>2640</v>
      </c>
      <c r="W28" s="43" t="s">
        <v>80</v>
      </c>
      <c r="X28">
        <v>40</v>
      </c>
      <c r="Z28" s="43" t="s">
        <v>74</v>
      </c>
      <c r="AA28">
        <v>670</v>
      </c>
      <c r="AC28" s="43" t="s">
        <v>91</v>
      </c>
      <c r="AD28">
        <v>7762</v>
      </c>
    </row>
    <row r="29" spans="1:30" x14ac:dyDescent="0.35">
      <c r="A29" s="10" t="s">
        <v>60</v>
      </c>
      <c r="B29" s="11" t="s">
        <v>61</v>
      </c>
      <c r="C29" s="23">
        <v>25095.441025399861</v>
      </c>
      <c r="D29" s="23">
        <v>25095.441025399861</v>
      </c>
      <c r="E29" s="23">
        <v>1248.5805492265979</v>
      </c>
      <c r="F29" s="23">
        <v>1843.6818250912581</v>
      </c>
      <c r="G29" s="23">
        <v>1573.2315088181056</v>
      </c>
      <c r="H29" s="23">
        <v>2512.993241516092</v>
      </c>
      <c r="I29" s="23">
        <f t="shared" si="5"/>
        <v>23189</v>
      </c>
      <c r="J29" s="23">
        <f t="shared" si="6"/>
        <v>51176</v>
      </c>
      <c r="K29" s="23">
        <f t="shared" si="7"/>
        <v>85650</v>
      </c>
      <c r="L29" s="23">
        <f t="shared" si="8"/>
        <v>103693</v>
      </c>
      <c r="M29" s="23">
        <f t="shared" si="9"/>
        <v>104634</v>
      </c>
      <c r="Q29" s="43" t="s">
        <v>74</v>
      </c>
      <c r="R29">
        <v>1020</v>
      </c>
      <c r="T29" s="43" t="s">
        <v>84</v>
      </c>
      <c r="U29">
        <v>60</v>
      </c>
      <c r="W29" s="43" t="s">
        <v>82</v>
      </c>
      <c r="X29">
        <v>1080</v>
      </c>
      <c r="Z29" s="43" t="s">
        <v>84</v>
      </c>
      <c r="AA29">
        <v>40</v>
      </c>
      <c r="AC29" s="43" t="s">
        <v>97</v>
      </c>
      <c r="AD29">
        <v>4786</v>
      </c>
    </row>
    <row r="30" spans="1:30" x14ac:dyDescent="0.35">
      <c r="A30" s="10" t="s">
        <v>62</v>
      </c>
      <c r="B30" s="6" t="s">
        <v>63</v>
      </c>
      <c r="C30" s="23">
        <v>1796.4570646106722</v>
      </c>
      <c r="D30" s="23">
        <v>1796.4570646106722</v>
      </c>
      <c r="E30" s="23">
        <v>469.3508375066645</v>
      </c>
      <c r="F30" s="23">
        <v>630.79394400438616</v>
      </c>
      <c r="G30" s="23">
        <v>618.93171328550773</v>
      </c>
      <c r="H30" s="23">
        <v>325.57496759799551</v>
      </c>
      <c r="I30" s="23">
        <f t="shared" si="5"/>
        <v>3758</v>
      </c>
      <c r="J30" s="23">
        <f t="shared" si="6"/>
        <v>4142</v>
      </c>
      <c r="K30" s="23">
        <f t="shared" si="7"/>
        <v>5144</v>
      </c>
      <c r="L30" s="23">
        <f t="shared" si="8"/>
        <v>4620</v>
      </c>
      <c r="M30" s="23">
        <f t="shared" si="9"/>
        <v>7722</v>
      </c>
      <c r="Q30" s="43" t="s">
        <v>86</v>
      </c>
      <c r="R30">
        <v>100</v>
      </c>
      <c r="T30" s="43" t="s">
        <v>86</v>
      </c>
      <c r="U30">
        <v>150</v>
      </c>
      <c r="W30" s="43" t="s">
        <v>74</v>
      </c>
      <c r="X30">
        <v>1486</v>
      </c>
      <c r="Z30" s="43" t="s">
        <v>91</v>
      </c>
      <c r="AA30">
        <v>12385</v>
      </c>
      <c r="AC30" s="43" t="s">
        <v>158</v>
      </c>
      <c r="AD30">
        <v>144</v>
      </c>
    </row>
    <row r="31" spans="1:30" x14ac:dyDescent="0.35">
      <c r="A31" s="12" t="s">
        <v>64</v>
      </c>
      <c r="B31" s="13" t="s">
        <v>65</v>
      </c>
      <c r="C31" s="23">
        <v>32.95563496905779</v>
      </c>
      <c r="D31" s="23">
        <v>32.95563496905779</v>
      </c>
      <c r="E31" s="23">
        <v>0</v>
      </c>
      <c r="F31" s="23">
        <v>0</v>
      </c>
      <c r="G31" s="23">
        <v>0</v>
      </c>
      <c r="H31" s="23">
        <v>0</v>
      </c>
      <c r="I31" s="23">
        <f t="shared" si="5"/>
        <v>230</v>
      </c>
      <c r="J31" s="23">
        <f t="shared" si="6"/>
        <v>360</v>
      </c>
      <c r="K31" s="23">
        <f t="shared" si="7"/>
        <v>480</v>
      </c>
      <c r="L31" s="23">
        <f t="shared" si="8"/>
        <v>312</v>
      </c>
      <c r="M31" s="23">
        <f t="shared" si="9"/>
        <v>336</v>
      </c>
      <c r="Q31" s="43" t="s">
        <v>88</v>
      </c>
      <c r="R31">
        <v>108</v>
      </c>
      <c r="T31" s="43" t="s">
        <v>88</v>
      </c>
      <c r="U31">
        <v>170</v>
      </c>
      <c r="W31" s="43" t="s">
        <v>84</v>
      </c>
      <c r="X31">
        <v>310</v>
      </c>
      <c r="Z31" s="43" t="s">
        <v>97</v>
      </c>
      <c r="AA31">
        <v>6529</v>
      </c>
      <c r="AC31" s="43" t="s">
        <v>93</v>
      </c>
      <c r="AD31">
        <v>6720</v>
      </c>
    </row>
    <row r="32" spans="1:30" x14ac:dyDescent="0.35">
      <c r="A32" s="3" t="s">
        <v>66</v>
      </c>
      <c r="B32" s="14"/>
      <c r="C32" s="14"/>
      <c r="D32" s="14"/>
      <c r="E32" s="14"/>
      <c r="F32" s="14"/>
      <c r="G32" s="14"/>
      <c r="H32" s="18"/>
      <c r="I32" s="14"/>
      <c r="J32" s="14"/>
      <c r="K32" s="14"/>
      <c r="L32" s="14"/>
      <c r="M32" s="14"/>
      <c r="Q32" s="43" t="s">
        <v>91</v>
      </c>
      <c r="R32">
        <v>6288</v>
      </c>
      <c r="T32" s="43" t="s">
        <v>91</v>
      </c>
      <c r="U32">
        <v>10656</v>
      </c>
      <c r="W32" s="43" t="s">
        <v>86</v>
      </c>
      <c r="X32">
        <v>30</v>
      </c>
      <c r="Z32" s="43" t="s">
        <v>158</v>
      </c>
      <c r="AA32">
        <v>288</v>
      </c>
      <c r="AC32" s="43" t="s">
        <v>99</v>
      </c>
      <c r="AD32">
        <v>4440</v>
      </c>
    </row>
    <row r="33" spans="1:30" x14ac:dyDescent="0.35">
      <c r="A33" s="10" t="s">
        <v>67</v>
      </c>
      <c r="B33" s="6" t="s">
        <v>68</v>
      </c>
      <c r="C33" s="23">
        <v>19935.776682935866</v>
      </c>
      <c r="D33" s="23">
        <v>19935.776682935866</v>
      </c>
      <c r="E33" s="23">
        <v>5051.9869669570362</v>
      </c>
      <c r="F33" s="23">
        <v>8743.8011400811865</v>
      </c>
      <c r="G33" s="23">
        <v>10247.700912395629</v>
      </c>
      <c r="H33" s="23">
        <v>8309.8325626683873</v>
      </c>
      <c r="I33" s="23">
        <f t="shared" si="5"/>
        <v>54624</v>
      </c>
      <c r="J33" s="23">
        <f t="shared" si="6"/>
        <v>92874</v>
      </c>
      <c r="K33" s="23">
        <f t="shared" si="7"/>
        <v>129640</v>
      </c>
      <c r="L33" s="23">
        <f t="shared" si="8"/>
        <v>118752</v>
      </c>
      <c r="M33" s="23">
        <f t="shared" si="9"/>
        <v>22464</v>
      </c>
      <c r="Q33" s="43" t="s">
        <v>97</v>
      </c>
      <c r="R33">
        <v>3888</v>
      </c>
      <c r="T33" s="43" t="s">
        <v>97</v>
      </c>
      <c r="U33">
        <v>5424</v>
      </c>
      <c r="W33" s="43" t="s">
        <v>88</v>
      </c>
      <c r="X33">
        <v>240</v>
      </c>
      <c r="Z33" s="43" t="s">
        <v>93</v>
      </c>
      <c r="AA33">
        <v>9312</v>
      </c>
      <c r="AC33" s="43" t="s">
        <v>95</v>
      </c>
      <c r="AD33">
        <v>672</v>
      </c>
    </row>
    <row r="34" spans="1:30" x14ac:dyDescent="0.35">
      <c r="A34" s="5" t="s">
        <v>69</v>
      </c>
      <c r="B34" s="6" t="s">
        <v>70</v>
      </c>
      <c r="C34" s="23">
        <v>4458.382325895408</v>
      </c>
      <c r="D34" s="23">
        <v>4458.382325895408</v>
      </c>
      <c r="E34" s="23">
        <v>1379.4596409774297</v>
      </c>
      <c r="F34" s="23">
        <v>1061.1086754423927</v>
      </c>
      <c r="G34" s="23">
        <v>1607.2201401805298</v>
      </c>
      <c r="H34" s="23">
        <v>2037.6422957730142</v>
      </c>
      <c r="I34" s="23">
        <f t="shared" si="5"/>
        <v>3315</v>
      </c>
      <c r="J34" s="23">
        <f t="shared" si="6"/>
        <v>14112</v>
      </c>
      <c r="K34" s="23">
        <f t="shared" si="7"/>
        <v>5091</v>
      </c>
      <c r="L34" s="23">
        <f t="shared" si="8"/>
        <v>3409</v>
      </c>
      <c r="M34" s="23">
        <f t="shared" si="9"/>
        <v>1738</v>
      </c>
      <c r="Q34" s="43" t="s">
        <v>158</v>
      </c>
      <c r="R34">
        <v>53</v>
      </c>
      <c r="T34" s="43" t="s">
        <v>158</v>
      </c>
      <c r="U34">
        <v>96</v>
      </c>
      <c r="W34" s="43" t="s">
        <v>175</v>
      </c>
      <c r="X34">
        <v>48</v>
      </c>
      <c r="Z34" s="43" t="s">
        <v>99</v>
      </c>
      <c r="AA34">
        <v>2400</v>
      </c>
      <c r="AC34" s="43" t="s">
        <v>101</v>
      </c>
      <c r="AD34">
        <v>8180</v>
      </c>
    </row>
    <row r="35" spans="1:30" x14ac:dyDescent="0.35">
      <c r="A35" s="5" t="s">
        <v>71</v>
      </c>
      <c r="B35" s="15" t="s">
        <v>72</v>
      </c>
      <c r="C35" s="23">
        <v>3923.1314428011633</v>
      </c>
      <c r="D35" s="23">
        <v>3923.1314428011633</v>
      </c>
      <c r="E35" s="23">
        <v>535.70915438588099</v>
      </c>
      <c r="F35" s="23">
        <v>702.82324537503496</v>
      </c>
      <c r="G35" s="23">
        <v>726.47587250838387</v>
      </c>
      <c r="H35" s="23">
        <v>810.33261002237703</v>
      </c>
      <c r="I35" s="23">
        <f t="shared" si="5"/>
        <v>6531</v>
      </c>
      <c r="J35" s="23">
        <f t="shared" si="6"/>
        <v>9462</v>
      </c>
      <c r="K35" s="23">
        <f t="shared" si="7"/>
        <v>14944</v>
      </c>
      <c r="L35" s="23">
        <f t="shared" si="8"/>
        <v>21094</v>
      </c>
      <c r="M35" s="23">
        <f t="shared" si="9"/>
        <v>19808</v>
      </c>
      <c r="Q35" s="43" t="s">
        <v>93</v>
      </c>
      <c r="R35">
        <v>2040</v>
      </c>
      <c r="T35" s="43" t="s">
        <v>93</v>
      </c>
      <c r="U35">
        <v>3936</v>
      </c>
      <c r="W35" s="43" t="s">
        <v>91</v>
      </c>
      <c r="X35">
        <v>15030</v>
      </c>
      <c r="Z35" s="43" t="s">
        <v>95</v>
      </c>
      <c r="AA35">
        <v>768</v>
      </c>
      <c r="AC35" t="s">
        <v>20</v>
      </c>
      <c r="AD35">
        <v>4032</v>
      </c>
    </row>
    <row r="36" spans="1:30" x14ac:dyDescent="0.35">
      <c r="A36" s="10" t="s">
        <v>73</v>
      </c>
      <c r="B36" s="6" t="s">
        <v>74</v>
      </c>
      <c r="C36" s="23">
        <v>1075.332896008108</v>
      </c>
      <c r="D36" s="23">
        <v>1075.332896008108</v>
      </c>
      <c r="E36" s="23">
        <v>76.698223065061796</v>
      </c>
      <c r="F36" s="23">
        <v>104.27299893606359</v>
      </c>
      <c r="G36" s="23">
        <v>100.95150727460413</v>
      </c>
      <c r="H36" s="23">
        <v>110.09090909090909</v>
      </c>
      <c r="I36" s="23">
        <f t="shared" si="5"/>
        <v>1020</v>
      </c>
      <c r="J36" s="23">
        <f t="shared" si="6"/>
        <v>2640</v>
      </c>
      <c r="K36" s="23">
        <f t="shared" si="7"/>
        <v>1486</v>
      </c>
      <c r="L36" s="23">
        <f t="shared" si="8"/>
        <v>670</v>
      </c>
      <c r="M36" s="23">
        <f t="shared" si="9"/>
        <v>200</v>
      </c>
      <c r="Q36" s="43" t="s">
        <v>99</v>
      </c>
      <c r="R36">
        <v>384</v>
      </c>
      <c r="T36" s="43" t="s">
        <v>99</v>
      </c>
      <c r="U36">
        <v>2064</v>
      </c>
      <c r="W36" s="43" t="s">
        <v>97</v>
      </c>
      <c r="X36">
        <v>6534</v>
      </c>
      <c r="Z36" s="43" t="s">
        <v>101</v>
      </c>
      <c r="AA36">
        <v>17930</v>
      </c>
      <c r="AC36" t="s">
        <v>24</v>
      </c>
      <c r="AD36">
        <v>1632</v>
      </c>
    </row>
    <row r="37" spans="1:30" x14ac:dyDescent="0.35">
      <c r="A37" s="10" t="s">
        <v>75</v>
      </c>
      <c r="B37" s="6" t="s">
        <v>76</v>
      </c>
      <c r="C37" s="23">
        <v>1416.9991656904435</v>
      </c>
      <c r="D37" s="23">
        <v>1416.9991656904435</v>
      </c>
      <c r="E37" s="23">
        <v>226.68196808179343</v>
      </c>
      <c r="F37" s="23">
        <v>268.34257044354604</v>
      </c>
      <c r="G37" s="23">
        <v>305.34760343934693</v>
      </c>
      <c r="H37" s="23">
        <v>283.60389610389609</v>
      </c>
      <c r="I37" s="23">
        <f t="shared" si="5"/>
        <v>1468</v>
      </c>
      <c r="J37" s="23">
        <f t="shared" si="6"/>
        <v>2430</v>
      </c>
      <c r="K37" s="23">
        <f t="shared" si="7"/>
        <v>1319</v>
      </c>
      <c r="L37" s="23">
        <f t="shared" si="8"/>
        <v>1120</v>
      </c>
      <c r="M37" s="23">
        <f t="shared" si="9"/>
        <v>1040</v>
      </c>
      <c r="Q37" s="43" t="s">
        <v>95</v>
      </c>
      <c r="R37">
        <v>288</v>
      </c>
      <c r="T37" s="43" t="s">
        <v>95</v>
      </c>
      <c r="U37">
        <v>720</v>
      </c>
      <c r="W37" s="43" t="s">
        <v>176</v>
      </c>
      <c r="X37">
        <v>96</v>
      </c>
      <c r="Z37" s="43" t="s">
        <v>20</v>
      </c>
      <c r="AA37">
        <v>5304</v>
      </c>
      <c r="AC37" t="s">
        <v>14</v>
      </c>
      <c r="AD37">
        <v>4392</v>
      </c>
    </row>
    <row r="38" spans="1:30" x14ac:dyDescent="0.35">
      <c r="A38" s="12" t="s">
        <v>77</v>
      </c>
      <c r="B38" s="13" t="s">
        <v>78</v>
      </c>
      <c r="C38" s="23">
        <v>0</v>
      </c>
      <c r="D38" s="23">
        <v>0</v>
      </c>
      <c r="E38" s="23" t="s">
        <v>149</v>
      </c>
      <c r="F38" s="23" t="s">
        <v>149</v>
      </c>
      <c r="G38" s="23" t="s">
        <v>149</v>
      </c>
      <c r="H38" s="23" t="s">
        <v>149</v>
      </c>
      <c r="I38" s="23">
        <f t="shared" si="5"/>
        <v>110</v>
      </c>
      <c r="J38" s="23">
        <f t="shared" si="6"/>
        <v>90</v>
      </c>
      <c r="K38" s="23">
        <f t="shared" si="7"/>
        <v>30</v>
      </c>
      <c r="L38" s="23" t="str">
        <f t="shared" si="8"/>
        <v>-</v>
      </c>
      <c r="M38" s="23" t="str">
        <f t="shared" si="9"/>
        <v>-</v>
      </c>
      <c r="Q38" s="43" t="s">
        <v>101</v>
      </c>
      <c r="R38">
        <v>7884</v>
      </c>
      <c r="T38" s="43" t="s">
        <v>101</v>
      </c>
      <c r="U38">
        <v>16488</v>
      </c>
      <c r="W38" s="43" t="s">
        <v>158</v>
      </c>
      <c r="X38">
        <v>54</v>
      </c>
      <c r="Z38" s="43" t="s">
        <v>24</v>
      </c>
      <c r="AA38">
        <v>2016</v>
      </c>
      <c r="AC38" t="s">
        <v>169</v>
      </c>
      <c r="AD38">
        <v>453</v>
      </c>
    </row>
    <row r="39" spans="1:30" x14ac:dyDescent="0.35">
      <c r="A39" s="5" t="s">
        <v>79</v>
      </c>
      <c r="B39" s="6" t="s">
        <v>80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f t="shared" si="5"/>
        <v>100</v>
      </c>
      <c r="J39" s="23">
        <f t="shared" si="6"/>
        <v>120</v>
      </c>
      <c r="K39" s="23">
        <f t="shared" si="7"/>
        <v>40</v>
      </c>
      <c r="L39" s="23" t="str">
        <f t="shared" si="8"/>
        <v>-</v>
      </c>
      <c r="M39" s="23" t="str">
        <f t="shared" si="9"/>
        <v>-</v>
      </c>
      <c r="Q39" s="43" t="s">
        <v>20</v>
      </c>
      <c r="R39">
        <v>12936</v>
      </c>
      <c r="T39" s="43" t="s">
        <v>20</v>
      </c>
      <c r="U39">
        <v>14472</v>
      </c>
      <c r="W39" s="43" t="s">
        <v>93</v>
      </c>
      <c r="X39">
        <v>3603</v>
      </c>
      <c r="Z39" s="43" t="s">
        <v>14</v>
      </c>
      <c r="AA39">
        <v>7248</v>
      </c>
      <c r="AC39" t="s">
        <v>16</v>
      </c>
      <c r="AD39">
        <v>10500</v>
      </c>
    </row>
    <row r="40" spans="1:30" x14ac:dyDescent="0.35">
      <c r="A40" s="10" t="s">
        <v>81</v>
      </c>
      <c r="B40" s="6" t="s">
        <v>82</v>
      </c>
      <c r="C40" s="23">
        <v>1052.4148619772016</v>
      </c>
      <c r="D40" s="23">
        <v>1052.4148619772016</v>
      </c>
      <c r="E40" s="23">
        <v>130.57513467106625</v>
      </c>
      <c r="F40" s="23">
        <v>128.10512210882834</v>
      </c>
      <c r="G40" s="23">
        <v>157.61030777695623</v>
      </c>
      <c r="H40" s="23">
        <v>184.02727272727265</v>
      </c>
      <c r="I40" s="23">
        <f t="shared" si="5"/>
        <v>1340</v>
      </c>
      <c r="J40" s="23">
        <f t="shared" si="6"/>
        <v>1730</v>
      </c>
      <c r="K40" s="23">
        <f t="shared" si="7"/>
        <v>1080</v>
      </c>
      <c r="L40" s="23">
        <f t="shared" si="8"/>
        <v>971</v>
      </c>
      <c r="M40" s="23">
        <f t="shared" si="9"/>
        <v>860</v>
      </c>
      <c r="Q40" s="43" t="s">
        <v>24</v>
      </c>
      <c r="R40">
        <v>3408</v>
      </c>
      <c r="T40" s="43" t="s">
        <v>24</v>
      </c>
      <c r="U40">
        <v>3360</v>
      </c>
      <c r="W40" s="43" t="s">
        <v>99</v>
      </c>
      <c r="X40">
        <v>2112</v>
      </c>
      <c r="Z40" s="43" t="s">
        <v>169</v>
      </c>
      <c r="AC40" t="s">
        <v>22</v>
      </c>
      <c r="AD40">
        <v>2256</v>
      </c>
    </row>
    <row r="41" spans="1:30" x14ac:dyDescent="0.35">
      <c r="A41" s="12" t="s">
        <v>83</v>
      </c>
      <c r="B41" s="13" t="s">
        <v>84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 t="str">
        <f t="shared" si="5"/>
        <v>-</v>
      </c>
      <c r="J41" s="23">
        <f t="shared" si="6"/>
        <v>60</v>
      </c>
      <c r="K41" s="23">
        <f t="shared" si="7"/>
        <v>310</v>
      </c>
      <c r="L41" s="23">
        <f t="shared" si="8"/>
        <v>40</v>
      </c>
      <c r="M41" s="23" t="str">
        <f t="shared" si="9"/>
        <v>-</v>
      </c>
      <c r="Q41" s="43" t="s">
        <v>14</v>
      </c>
      <c r="R41">
        <v>22509</v>
      </c>
      <c r="T41" s="43" t="s">
        <v>14</v>
      </c>
      <c r="U41">
        <v>18720</v>
      </c>
      <c r="W41" s="43" t="s">
        <v>95</v>
      </c>
      <c r="X41">
        <v>528</v>
      </c>
      <c r="Z41" s="43" t="s">
        <v>16</v>
      </c>
      <c r="AA41">
        <v>5376</v>
      </c>
      <c r="AC41" t="s">
        <v>26</v>
      </c>
      <c r="AD41">
        <v>5940</v>
      </c>
    </row>
    <row r="42" spans="1:30" x14ac:dyDescent="0.35">
      <c r="A42" s="12" t="s">
        <v>85</v>
      </c>
      <c r="B42" s="13" t="s">
        <v>86</v>
      </c>
      <c r="C42" s="23">
        <v>0</v>
      </c>
      <c r="D42" s="23">
        <v>0</v>
      </c>
      <c r="E42" s="23" t="s">
        <v>149</v>
      </c>
      <c r="F42" s="23" t="s">
        <v>149</v>
      </c>
      <c r="G42" s="23" t="s">
        <v>149</v>
      </c>
      <c r="H42" s="23" t="s">
        <v>149</v>
      </c>
      <c r="I42" s="23">
        <f t="shared" si="5"/>
        <v>100</v>
      </c>
      <c r="J42" s="23">
        <f t="shared" si="6"/>
        <v>150</v>
      </c>
      <c r="K42" s="23">
        <f t="shared" si="7"/>
        <v>30</v>
      </c>
      <c r="L42" s="23" t="str">
        <f t="shared" si="8"/>
        <v>-</v>
      </c>
      <c r="M42" s="23" t="str">
        <f t="shared" si="9"/>
        <v>-</v>
      </c>
      <c r="Q42" s="43" t="s">
        <v>16</v>
      </c>
      <c r="R42">
        <v>38070</v>
      </c>
      <c r="T42" s="43" t="s">
        <v>16</v>
      </c>
      <c r="U42">
        <v>27900</v>
      </c>
      <c r="W42" s="43" t="s">
        <v>101</v>
      </c>
      <c r="X42">
        <v>22356</v>
      </c>
      <c r="Z42" s="43" t="s">
        <v>22</v>
      </c>
      <c r="AA42">
        <v>3193</v>
      </c>
      <c r="AC42" t="s">
        <v>137</v>
      </c>
      <c r="AD42">
        <v>120</v>
      </c>
    </row>
    <row r="43" spans="1:30" x14ac:dyDescent="0.35">
      <c r="A43" s="12" t="s">
        <v>87</v>
      </c>
      <c r="B43" s="13" t="s">
        <v>88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f t="shared" si="5"/>
        <v>108</v>
      </c>
      <c r="J43" s="23">
        <f t="shared" si="6"/>
        <v>170</v>
      </c>
      <c r="K43" s="23">
        <f t="shared" si="7"/>
        <v>240</v>
      </c>
      <c r="L43" s="23" t="str">
        <f t="shared" si="8"/>
        <v>-</v>
      </c>
      <c r="M43" s="23" t="str">
        <f t="shared" si="9"/>
        <v>-</v>
      </c>
      <c r="Q43" s="43" t="s">
        <v>22</v>
      </c>
      <c r="R43">
        <v>27990</v>
      </c>
      <c r="T43" s="43" t="s">
        <v>22</v>
      </c>
      <c r="U43">
        <v>21780</v>
      </c>
      <c r="W43" s="43" t="s">
        <v>20</v>
      </c>
      <c r="X43">
        <v>6434</v>
      </c>
      <c r="Z43" s="43" t="s">
        <v>26</v>
      </c>
      <c r="AA43">
        <v>12600</v>
      </c>
      <c r="AC43" t="s">
        <v>139</v>
      </c>
      <c r="AD43">
        <v>130</v>
      </c>
    </row>
    <row r="44" spans="1:30" x14ac:dyDescent="0.35">
      <c r="A44" s="3" t="s">
        <v>89</v>
      </c>
      <c r="B44" s="4"/>
      <c r="C44" s="4"/>
      <c r="D44" s="4"/>
      <c r="E44" s="4"/>
      <c r="F44" s="4"/>
      <c r="G44" s="4"/>
      <c r="H44" s="24"/>
      <c r="I44" s="4"/>
      <c r="J44" s="4"/>
      <c r="K44" s="4"/>
      <c r="L44" s="4"/>
      <c r="M44" s="4"/>
      <c r="Q44" s="43" t="s">
        <v>26</v>
      </c>
      <c r="R44">
        <v>6597</v>
      </c>
      <c r="T44" s="43" t="s">
        <v>26</v>
      </c>
      <c r="U44">
        <v>11790</v>
      </c>
      <c r="W44" s="43" t="s">
        <v>24</v>
      </c>
      <c r="X44">
        <v>2482</v>
      </c>
      <c r="Z44" s="43" t="s">
        <v>137</v>
      </c>
      <c r="AA44">
        <v>240</v>
      </c>
      <c r="AC44" t="s">
        <v>28</v>
      </c>
      <c r="AD44">
        <v>5620</v>
      </c>
    </row>
    <row r="45" spans="1:30" x14ac:dyDescent="0.35">
      <c r="A45" s="5" t="s">
        <v>90</v>
      </c>
      <c r="B45" s="6" t="s">
        <v>91</v>
      </c>
      <c r="C45" s="23">
        <v>2662.1311948594821</v>
      </c>
      <c r="D45" s="23">
        <v>2662.1311948594821</v>
      </c>
      <c r="E45" s="23">
        <v>153.89571909215351</v>
      </c>
      <c r="F45" s="23">
        <v>207.18021220045287</v>
      </c>
      <c r="G45" s="23">
        <v>290.98666206855017</v>
      </c>
      <c r="H45" s="23">
        <v>267.18246625620736</v>
      </c>
      <c r="I45" s="23">
        <f t="shared" si="5"/>
        <v>6288</v>
      </c>
      <c r="J45" s="23">
        <f t="shared" si="6"/>
        <v>10656</v>
      </c>
      <c r="K45" s="23">
        <f t="shared" si="7"/>
        <v>15030</v>
      </c>
      <c r="L45" s="23">
        <f t="shared" si="8"/>
        <v>12385</v>
      </c>
      <c r="M45" s="23">
        <f t="shared" si="9"/>
        <v>7762</v>
      </c>
      <c r="Q45" s="43" t="s">
        <v>137</v>
      </c>
      <c r="R45">
        <v>56</v>
      </c>
      <c r="T45" s="43" t="s">
        <v>137</v>
      </c>
      <c r="U45">
        <v>420</v>
      </c>
      <c r="W45" s="43" t="s">
        <v>14</v>
      </c>
      <c r="X45">
        <v>7503</v>
      </c>
      <c r="Z45" s="43" t="s">
        <v>139</v>
      </c>
      <c r="AA45">
        <v>220</v>
      </c>
      <c r="AC45" t="s">
        <v>40</v>
      </c>
      <c r="AD45">
        <v>900</v>
      </c>
    </row>
    <row r="46" spans="1:30" x14ac:dyDescent="0.35">
      <c r="A46" s="10" t="s">
        <v>92</v>
      </c>
      <c r="B46" s="6" t="s">
        <v>93</v>
      </c>
      <c r="C46" s="23">
        <v>2131.2605728487124</v>
      </c>
      <c r="D46" s="23">
        <v>2131.2605728487124</v>
      </c>
      <c r="E46" s="23">
        <v>166.23400196154685</v>
      </c>
      <c r="F46" s="23">
        <v>126.68874339975672</v>
      </c>
      <c r="G46" s="23">
        <v>260.17734442710434</v>
      </c>
      <c r="H46" s="23">
        <v>224.93093577089061</v>
      </c>
      <c r="I46" s="23">
        <f t="shared" si="5"/>
        <v>2040</v>
      </c>
      <c r="J46" s="23">
        <f t="shared" si="6"/>
        <v>3936</v>
      </c>
      <c r="K46" s="23">
        <f t="shared" si="7"/>
        <v>3603</v>
      </c>
      <c r="L46" s="23">
        <f t="shared" si="8"/>
        <v>9312</v>
      </c>
      <c r="M46" s="23">
        <f t="shared" si="9"/>
        <v>6720</v>
      </c>
      <c r="Q46" s="43" t="s">
        <v>139</v>
      </c>
      <c r="R46">
        <v>50</v>
      </c>
      <c r="T46" s="43" t="s">
        <v>139</v>
      </c>
      <c r="U46">
        <v>130</v>
      </c>
      <c r="W46" s="43" t="s">
        <v>180</v>
      </c>
      <c r="X46">
        <v>128</v>
      </c>
      <c r="Z46" s="43" t="s">
        <v>28</v>
      </c>
      <c r="AA46">
        <v>6960</v>
      </c>
      <c r="AC46" t="s">
        <v>38</v>
      </c>
      <c r="AD46">
        <v>15782</v>
      </c>
    </row>
    <row r="47" spans="1:30" x14ac:dyDescent="0.35">
      <c r="A47" s="10" t="s">
        <v>94</v>
      </c>
      <c r="B47" s="6" t="s">
        <v>95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f t="shared" si="5"/>
        <v>288</v>
      </c>
      <c r="J47" s="23">
        <f t="shared" si="6"/>
        <v>720</v>
      </c>
      <c r="K47" s="23">
        <f t="shared" si="7"/>
        <v>528</v>
      </c>
      <c r="L47" s="23">
        <f t="shared" si="8"/>
        <v>768</v>
      </c>
      <c r="M47" s="23">
        <f t="shared" si="9"/>
        <v>672</v>
      </c>
      <c r="Q47" s="43" t="s">
        <v>28</v>
      </c>
      <c r="R47">
        <v>9936</v>
      </c>
      <c r="T47" s="43" t="s">
        <v>28</v>
      </c>
      <c r="U47">
        <v>13820</v>
      </c>
      <c r="W47" s="43" t="s">
        <v>177</v>
      </c>
      <c r="X47">
        <v>234</v>
      </c>
      <c r="Z47" s="45" t="s">
        <v>40</v>
      </c>
      <c r="AA47" s="46">
        <v>1700</v>
      </c>
      <c r="AC47" t="s">
        <v>143</v>
      </c>
      <c r="AD47">
        <v>30</v>
      </c>
    </row>
    <row r="48" spans="1:30" x14ac:dyDescent="0.35">
      <c r="A48" s="10" t="s">
        <v>96</v>
      </c>
      <c r="B48" s="6" t="s">
        <v>97</v>
      </c>
      <c r="C48" s="23">
        <v>1667.3352499438479</v>
      </c>
      <c r="D48" s="23">
        <v>1667.3352499438479</v>
      </c>
      <c r="E48" s="23">
        <v>129.88654708778674</v>
      </c>
      <c r="F48" s="23">
        <v>189.33047002572079</v>
      </c>
      <c r="G48" s="23">
        <v>279.12353785413035</v>
      </c>
      <c r="H48" s="23">
        <v>214.41558441558436</v>
      </c>
      <c r="I48" s="23">
        <f t="shared" si="5"/>
        <v>3888</v>
      </c>
      <c r="J48" s="23">
        <f t="shared" si="6"/>
        <v>5424</v>
      </c>
      <c r="K48" s="23">
        <f t="shared" si="7"/>
        <v>6534</v>
      </c>
      <c r="L48" s="23">
        <f t="shared" si="8"/>
        <v>6529</v>
      </c>
      <c r="M48" s="23">
        <f t="shared" si="9"/>
        <v>4786</v>
      </c>
      <c r="Q48" s="43" t="s">
        <v>40</v>
      </c>
      <c r="R48">
        <v>640</v>
      </c>
      <c r="T48" s="43" t="s">
        <v>40</v>
      </c>
      <c r="U48">
        <v>960</v>
      </c>
      <c r="W48" s="43" t="s">
        <v>16</v>
      </c>
      <c r="X48">
        <v>8460</v>
      </c>
      <c r="Z48" t="s">
        <v>170</v>
      </c>
      <c r="AA48">
        <v>80</v>
      </c>
      <c r="AC48" t="s">
        <v>34</v>
      </c>
      <c r="AD48">
        <v>420</v>
      </c>
    </row>
    <row r="49" spans="1:30" x14ac:dyDescent="0.35">
      <c r="A49" s="10" t="s">
        <v>98</v>
      </c>
      <c r="B49" s="6" t="s">
        <v>99</v>
      </c>
      <c r="C49" s="23">
        <v>673.83617185382548</v>
      </c>
      <c r="D49" s="23">
        <v>673.83617185382548</v>
      </c>
      <c r="E49" s="23">
        <v>84.737199447185304</v>
      </c>
      <c r="F49" s="23">
        <v>68.609082226596925</v>
      </c>
      <c r="G49" s="23">
        <v>77.107265333426383</v>
      </c>
      <c r="H49" s="23">
        <v>69.205844155844147</v>
      </c>
      <c r="I49" s="23">
        <f t="shared" si="5"/>
        <v>384</v>
      </c>
      <c r="J49" s="23">
        <f t="shared" si="6"/>
        <v>2064</v>
      </c>
      <c r="K49" s="23">
        <f t="shared" si="7"/>
        <v>2112</v>
      </c>
      <c r="L49" s="23">
        <f t="shared" si="8"/>
        <v>2400</v>
      </c>
      <c r="M49" s="23">
        <f t="shared" si="9"/>
        <v>4440</v>
      </c>
      <c r="Q49" s="43" t="s">
        <v>38</v>
      </c>
      <c r="R49">
        <v>9028</v>
      </c>
      <c r="T49" s="43" t="s">
        <v>38</v>
      </c>
      <c r="U49">
        <v>20864</v>
      </c>
      <c r="W49" s="43" t="s">
        <v>22</v>
      </c>
      <c r="X49">
        <v>5760</v>
      </c>
      <c r="Z49" t="s">
        <v>38</v>
      </c>
      <c r="AA49">
        <v>32640</v>
      </c>
      <c r="AC49" t="s">
        <v>36</v>
      </c>
      <c r="AD49">
        <v>480</v>
      </c>
    </row>
    <row r="50" spans="1:30" x14ac:dyDescent="0.35">
      <c r="A50" s="10" t="s">
        <v>100</v>
      </c>
      <c r="B50" s="16" t="s">
        <v>101</v>
      </c>
      <c r="C50" s="23">
        <v>4047.1647193266103</v>
      </c>
      <c r="D50" s="23">
        <v>4047.1647193266103</v>
      </c>
      <c r="E50" s="23">
        <v>370.54149602716228</v>
      </c>
      <c r="F50" s="23">
        <v>533.38739692349702</v>
      </c>
      <c r="G50" s="23">
        <v>665.55780543910419</v>
      </c>
      <c r="H50" s="23">
        <v>631.31335592148901</v>
      </c>
      <c r="I50" s="23">
        <f t="shared" si="5"/>
        <v>7884</v>
      </c>
      <c r="J50" s="23">
        <f t="shared" si="6"/>
        <v>16488</v>
      </c>
      <c r="K50" s="23">
        <f t="shared" si="7"/>
        <v>22356</v>
      </c>
      <c r="L50" s="23">
        <f t="shared" si="8"/>
        <v>17930</v>
      </c>
      <c r="M50" s="23">
        <f t="shared" si="9"/>
        <v>8180</v>
      </c>
      <c r="Q50" s="43" t="s">
        <v>34</v>
      </c>
      <c r="R50">
        <v>750</v>
      </c>
      <c r="T50" s="43" t="s">
        <v>143</v>
      </c>
      <c r="U50">
        <v>20</v>
      </c>
      <c r="W50" s="43" t="s">
        <v>26</v>
      </c>
      <c r="X50">
        <v>11052</v>
      </c>
      <c r="Z50" t="s">
        <v>143</v>
      </c>
      <c r="AA50">
        <v>218</v>
      </c>
      <c r="AC50" t="s">
        <v>30</v>
      </c>
      <c r="AD50">
        <v>320</v>
      </c>
    </row>
    <row r="51" spans="1:30" x14ac:dyDescent="0.35">
      <c r="A51" s="3" t="s">
        <v>102</v>
      </c>
      <c r="B51" s="4"/>
      <c r="C51" s="4"/>
      <c r="D51" s="4"/>
      <c r="E51" s="4"/>
      <c r="F51" s="4"/>
      <c r="G51" s="4"/>
      <c r="H51" s="24"/>
      <c r="I51" s="4"/>
      <c r="J51" s="4"/>
      <c r="K51" s="4"/>
      <c r="L51" s="4"/>
      <c r="M51" s="4"/>
      <c r="Q51" s="43" t="s">
        <v>36</v>
      </c>
      <c r="R51">
        <v>1170</v>
      </c>
      <c r="T51" s="43" t="s">
        <v>34</v>
      </c>
      <c r="U51">
        <v>2880</v>
      </c>
      <c r="W51" s="43" t="s">
        <v>137</v>
      </c>
      <c r="X51">
        <v>186</v>
      </c>
      <c r="Z51" t="s">
        <v>34</v>
      </c>
      <c r="AA51">
        <v>1920</v>
      </c>
      <c r="AC51" t="s">
        <v>32</v>
      </c>
      <c r="AD51">
        <v>60</v>
      </c>
    </row>
    <row r="52" spans="1:30" x14ac:dyDescent="0.35">
      <c r="A52" s="10" t="s">
        <v>103</v>
      </c>
      <c r="B52" s="6" t="s">
        <v>104</v>
      </c>
      <c r="C52" s="23">
        <v>2383.0285038255906</v>
      </c>
      <c r="D52" s="23">
        <v>2383.0285038255906</v>
      </c>
      <c r="E52" s="23">
        <v>129.93130055936618</v>
      </c>
      <c r="F52" s="23">
        <v>108.499161809545</v>
      </c>
      <c r="G52" s="23">
        <v>168.85759138252084</v>
      </c>
      <c r="H52" s="23">
        <v>177.56613824997859</v>
      </c>
      <c r="I52" s="23">
        <f t="shared" si="5"/>
        <v>2554</v>
      </c>
      <c r="J52" s="23">
        <f t="shared" si="6"/>
        <v>8294</v>
      </c>
      <c r="K52" s="23">
        <f t="shared" si="7"/>
        <v>11966</v>
      </c>
      <c r="L52" s="23">
        <f t="shared" si="8"/>
        <v>8737</v>
      </c>
      <c r="M52" s="23">
        <f t="shared" si="9"/>
        <v>5884</v>
      </c>
      <c r="Q52" s="43" t="s">
        <v>30</v>
      </c>
      <c r="R52">
        <v>1116</v>
      </c>
      <c r="T52" s="43" t="s">
        <v>36</v>
      </c>
      <c r="U52">
        <v>2580</v>
      </c>
      <c r="W52" s="43" t="s">
        <v>139</v>
      </c>
      <c r="X52">
        <v>226</v>
      </c>
      <c r="Z52" t="s">
        <v>36</v>
      </c>
      <c r="AA52">
        <v>960</v>
      </c>
      <c r="AC52" t="s">
        <v>159</v>
      </c>
      <c r="AD52">
        <v>360</v>
      </c>
    </row>
    <row r="53" spans="1:30" x14ac:dyDescent="0.35">
      <c r="A53" s="10" t="s">
        <v>105</v>
      </c>
      <c r="B53" s="6" t="s">
        <v>106</v>
      </c>
      <c r="C53" s="23">
        <v>1337.3808650093342</v>
      </c>
      <c r="D53" s="23">
        <v>1337.3808650093342</v>
      </c>
      <c r="E53" s="23">
        <v>104.80311595061256</v>
      </c>
      <c r="F53" s="23">
        <v>144.8923642028808</v>
      </c>
      <c r="G53" s="23">
        <v>109.93686937028855</v>
      </c>
      <c r="H53" s="23">
        <v>142.1062024337071</v>
      </c>
      <c r="I53" s="23">
        <f t="shared" si="5"/>
        <v>1937</v>
      </c>
      <c r="J53" s="23">
        <f t="shared" si="6"/>
        <v>5386</v>
      </c>
      <c r="K53" s="23">
        <f t="shared" si="7"/>
        <v>9207</v>
      </c>
      <c r="L53" s="23">
        <f t="shared" si="8"/>
        <v>5999</v>
      </c>
      <c r="M53" s="23">
        <f t="shared" si="9"/>
        <v>3728</v>
      </c>
      <c r="Q53" s="43" t="s">
        <v>32</v>
      </c>
      <c r="R53">
        <v>916</v>
      </c>
      <c r="T53" s="43" t="s">
        <v>30</v>
      </c>
      <c r="U53">
        <v>3220</v>
      </c>
      <c r="W53" s="43" t="s">
        <v>28</v>
      </c>
      <c r="X53">
        <v>5366</v>
      </c>
      <c r="Z53" t="s">
        <v>30</v>
      </c>
      <c r="AA53">
        <v>240</v>
      </c>
      <c r="AC53" t="s">
        <v>124</v>
      </c>
      <c r="AD53">
        <v>20376</v>
      </c>
    </row>
    <row r="54" spans="1:30" x14ac:dyDescent="0.35">
      <c r="A54" s="10" t="s">
        <v>107</v>
      </c>
      <c r="B54" s="6" t="s">
        <v>108</v>
      </c>
      <c r="C54" s="23">
        <v>362.00009411855444</v>
      </c>
      <c r="D54" s="23">
        <v>362.00009411855444</v>
      </c>
      <c r="E54" s="23">
        <v>70.659507329984052</v>
      </c>
      <c r="F54" s="23">
        <v>53.22877808898707</v>
      </c>
      <c r="G54" s="23">
        <v>44.958222630639128</v>
      </c>
      <c r="H54" s="23">
        <v>34.602262431725826</v>
      </c>
      <c r="I54" s="23">
        <f t="shared" si="5"/>
        <v>516</v>
      </c>
      <c r="J54" s="23">
        <f t="shared" si="6"/>
        <v>1589</v>
      </c>
      <c r="K54" s="23">
        <f t="shared" si="7"/>
        <v>1854</v>
      </c>
      <c r="L54" s="23">
        <f t="shared" si="8"/>
        <v>1849</v>
      </c>
      <c r="M54" s="23">
        <f t="shared" si="9"/>
        <v>42</v>
      </c>
      <c r="Q54" s="43" t="s">
        <v>159</v>
      </c>
      <c r="R54">
        <v>1956</v>
      </c>
      <c r="T54" s="43" t="s">
        <v>32</v>
      </c>
      <c r="U54">
        <v>2371</v>
      </c>
      <c r="W54" s="43" t="s">
        <v>40</v>
      </c>
      <c r="X54">
        <v>1440</v>
      </c>
      <c r="Z54" t="s">
        <v>32</v>
      </c>
      <c r="AA54">
        <v>300</v>
      </c>
      <c r="AC54" t="s">
        <v>127</v>
      </c>
      <c r="AD54">
        <v>72</v>
      </c>
    </row>
    <row r="55" spans="1:30" x14ac:dyDescent="0.35">
      <c r="A55" s="7" t="s">
        <v>109</v>
      </c>
      <c r="B55" s="15" t="s">
        <v>110</v>
      </c>
      <c r="C55" s="23">
        <v>252.87027068095188</v>
      </c>
      <c r="D55" s="23">
        <v>252.87027068095188</v>
      </c>
      <c r="E55" s="23">
        <v>88.505643020262127</v>
      </c>
      <c r="F55" s="23">
        <v>63.871112585717469</v>
      </c>
      <c r="G55" s="23">
        <v>79.433071694342573</v>
      </c>
      <c r="H55" s="23">
        <v>109.0153264929378</v>
      </c>
      <c r="I55" s="23">
        <f t="shared" si="5"/>
        <v>804</v>
      </c>
      <c r="J55" s="23">
        <f t="shared" si="6"/>
        <v>1612</v>
      </c>
      <c r="K55" s="23">
        <f t="shared" si="7"/>
        <v>1120</v>
      </c>
      <c r="L55" s="23">
        <f t="shared" si="8"/>
        <v>1560</v>
      </c>
      <c r="M55" s="23">
        <f t="shared" si="9"/>
        <v>650</v>
      </c>
      <c r="Q55" s="43" t="s">
        <v>124</v>
      </c>
      <c r="R55">
        <v>15012</v>
      </c>
      <c r="T55" s="43" t="s">
        <v>159</v>
      </c>
      <c r="U55">
        <v>1368</v>
      </c>
      <c r="W55" s="43" t="s">
        <v>170</v>
      </c>
      <c r="X55">
        <v>144</v>
      </c>
      <c r="Z55" t="s">
        <v>159</v>
      </c>
      <c r="AA55">
        <v>936</v>
      </c>
      <c r="AC55" t="s">
        <v>120</v>
      </c>
      <c r="AD55">
        <v>2</v>
      </c>
    </row>
    <row r="56" spans="1:30" x14ac:dyDescent="0.35">
      <c r="A56" s="7" t="s">
        <v>111</v>
      </c>
      <c r="B56" s="17" t="s">
        <v>112</v>
      </c>
      <c r="C56" s="23">
        <v>840.04137276188794</v>
      </c>
      <c r="D56" s="23">
        <v>840.04137276188794</v>
      </c>
      <c r="E56" s="23">
        <v>139.24781405168605</v>
      </c>
      <c r="F56" s="23">
        <v>225.7771890697222</v>
      </c>
      <c r="G56" s="23">
        <v>189.88339174439213</v>
      </c>
      <c r="H56" s="23">
        <v>298.64703129953062</v>
      </c>
      <c r="I56" s="23">
        <f t="shared" si="5"/>
        <v>1713</v>
      </c>
      <c r="J56" s="23">
        <f t="shared" si="6"/>
        <v>3352</v>
      </c>
      <c r="K56" s="23">
        <f t="shared" si="7"/>
        <v>4004</v>
      </c>
      <c r="L56" s="23">
        <f t="shared" si="8"/>
        <v>3304</v>
      </c>
      <c r="M56" s="23">
        <f t="shared" si="9"/>
        <v>2956</v>
      </c>
      <c r="Q56" s="43" t="s">
        <v>127</v>
      </c>
      <c r="R56">
        <v>1636</v>
      </c>
      <c r="T56" s="43" t="s">
        <v>124</v>
      </c>
      <c r="U56">
        <v>11124</v>
      </c>
      <c r="W56" s="43" t="s">
        <v>38</v>
      </c>
      <c r="X56">
        <v>34184</v>
      </c>
      <c r="Z56" t="s">
        <v>124</v>
      </c>
      <c r="AA56">
        <v>26545</v>
      </c>
      <c r="AC56" t="s">
        <v>42</v>
      </c>
      <c r="AD56">
        <v>8128</v>
      </c>
    </row>
    <row r="57" spans="1:30" x14ac:dyDescent="0.35">
      <c r="A57" s="3" t="s">
        <v>113</v>
      </c>
      <c r="B57" s="14"/>
      <c r="C57" s="14"/>
      <c r="D57" s="14"/>
      <c r="E57" s="14"/>
      <c r="F57" s="14"/>
      <c r="G57" s="14"/>
      <c r="H57" s="18"/>
      <c r="I57" s="14"/>
      <c r="J57" s="14"/>
      <c r="K57" s="14"/>
      <c r="L57" s="14"/>
      <c r="M57" s="14"/>
      <c r="Q57" s="43" t="s">
        <v>122</v>
      </c>
      <c r="R57">
        <v>12</v>
      </c>
      <c r="T57" s="43" t="s">
        <v>167</v>
      </c>
      <c r="U57">
        <v>192</v>
      </c>
      <c r="W57" s="43" t="s">
        <v>143</v>
      </c>
      <c r="X57">
        <v>204</v>
      </c>
      <c r="Z57" t="s">
        <v>127</v>
      </c>
      <c r="AA57">
        <v>72</v>
      </c>
      <c r="AC57" t="s">
        <v>115</v>
      </c>
      <c r="AD57">
        <v>86760</v>
      </c>
    </row>
    <row r="58" spans="1:30" x14ac:dyDescent="0.35">
      <c r="A58" s="10" t="s">
        <v>114</v>
      </c>
      <c r="B58" s="6" t="s">
        <v>115</v>
      </c>
      <c r="C58" s="23">
        <v>16046.22029605121</v>
      </c>
      <c r="D58" s="23">
        <v>16046.22029605121</v>
      </c>
      <c r="E58" s="23">
        <v>2417.3898623413029</v>
      </c>
      <c r="F58" s="23">
        <v>2353.7416471094225</v>
      </c>
      <c r="G58" s="23">
        <v>2920.3912838339347</v>
      </c>
      <c r="H58" s="23">
        <v>3253.222783560062</v>
      </c>
      <c r="I58" s="23">
        <f t="shared" si="5"/>
        <v>27530</v>
      </c>
      <c r="J58" s="23">
        <f t="shared" si="6"/>
        <v>30600</v>
      </c>
      <c r="K58" s="23">
        <f t="shared" si="7"/>
        <v>57900</v>
      </c>
      <c r="L58" s="23">
        <f t="shared" si="8"/>
        <v>95400</v>
      </c>
      <c r="M58" s="23">
        <f t="shared" si="9"/>
        <v>86760</v>
      </c>
      <c r="Q58" s="43" t="s">
        <v>120</v>
      </c>
      <c r="R58">
        <v>12</v>
      </c>
      <c r="T58" s="43" t="s">
        <v>127</v>
      </c>
      <c r="U58">
        <v>1008</v>
      </c>
      <c r="W58" s="43" t="s">
        <v>34</v>
      </c>
      <c r="X58">
        <v>3660</v>
      </c>
      <c r="Z58" t="s">
        <v>160</v>
      </c>
      <c r="AA58">
        <v>96</v>
      </c>
      <c r="AC58" t="s">
        <v>130</v>
      </c>
      <c r="AD58">
        <v>140</v>
      </c>
    </row>
    <row r="59" spans="1:30" x14ac:dyDescent="0.35">
      <c r="A59" s="7" t="s">
        <v>116</v>
      </c>
      <c r="B59" s="8" t="s">
        <v>117</v>
      </c>
      <c r="C59" s="23" t="s">
        <v>149</v>
      </c>
      <c r="D59" s="23" t="s">
        <v>149</v>
      </c>
      <c r="E59" s="23" t="s">
        <v>149</v>
      </c>
      <c r="F59" s="23" t="s">
        <v>149</v>
      </c>
      <c r="G59" s="23" t="s">
        <v>149</v>
      </c>
      <c r="H59" s="23" t="s">
        <v>149</v>
      </c>
      <c r="I59" s="23">
        <f t="shared" si="5"/>
        <v>63</v>
      </c>
      <c r="J59" s="23" t="str">
        <f t="shared" si="6"/>
        <v>-</v>
      </c>
      <c r="K59" s="23" t="str">
        <f t="shared" si="7"/>
        <v>-</v>
      </c>
      <c r="L59" s="23" t="str">
        <f t="shared" si="8"/>
        <v>-</v>
      </c>
      <c r="M59" s="23" t="str">
        <f t="shared" si="9"/>
        <v>-</v>
      </c>
      <c r="Q59" s="43" t="s">
        <v>117</v>
      </c>
      <c r="R59">
        <v>63</v>
      </c>
      <c r="T59" s="43" t="s">
        <v>160</v>
      </c>
      <c r="U59">
        <v>96</v>
      </c>
      <c r="W59" s="43" t="s">
        <v>36</v>
      </c>
      <c r="X59">
        <v>2400</v>
      </c>
      <c r="Z59" t="s">
        <v>133</v>
      </c>
      <c r="AA59">
        <v>642</v>
      </c>
      <c r="AC59" t="s">
        <v>162</v>
      </c>
      <c r="AD59">
        <v>144</v>
      </c>
    </row>
    <row r="60" spans="1:30" x14ac:dyDescent="0.35">
      <c r="A60" s="3" t="s">
        <v>118</v>
      </c>
      <c r="B60" s="14"/>
      <c r="C60" s="14"/>
      <c r="D60" s="14"/>
      <c r="E60" s="14"/>
      <c r="F60" s="14"/>
      <c r="G60" s="14"/>
      <c r="H60" s="18"/>
      <c r="I60" s="14"/>
      <c r="J60" s="14"/>
      <c r="K60" s="14"/>
      <c r="L60" s="14"/>
      <c r="M60" s="14"/>
      <c r="Q60" s="43" t="s">
        <v>161</v>
      </c>
      <c r="R60">
        <v>64</v>
      </c>
      <c r="T60" s="43" t="s">
        <v>42</v>
      </c>
      <c r="U60">
        <v>2208</v>
      </c>
      <c r="W60" s="43" t="s">
        <v>30</v>
      </c>
      <c r="X60">
        <v>1144</v>
      </c>
      <c r="Z60" t="s">
        <v>135</v>
      </c>
      <c r="AA60">
        <v>477</v>
      </c>
      <c r="AC60" t="s">
        <v>164</v>
      </c>
      <c r="AD60">
        <v>192</v>
      </c>
    </row>
    <row r="61" spans="1:30" x14ac:dyDescent="0.35">
      <c r="A61" s="7" t="s">
        <v>119</v>
      </c>
      <c r="B61" s="8" t="s">
        <v>120</v>
      </c>
      <c r="C61" s="23">
        <v>127.97173253447018</v>
      </c>
      <c r="D61" s="23">
        <v>127.97173253447018</v>
      </c>
      <c r="E61" s="23">
        <v>0</v>
      </c>
      <c r="F61" s="23">
        <v>0</v>
      </c>
      <c r="G61" s="23">
        <v>0</v>
      </c>
      <c r="H61" s="23">
        <v>0</v>
      </c>
      <c r="I61" s="23">
        <f t="shared" si="5"/>
        <v>12</v>
      </c>
      <c r="J61" s="23" t="str">
        <f t="shared" si="6"/>
        <v>-</v>
      </c>
      <c r="K61" s="23" t="str">
        <f t="shared" si="7"/>
        <v>-</v>
      </c>
      <c r="L61" s="23" t="str">
        <f t="shared" si="8"/>
        <v>-</v>
      </c>
      <c r="M61" s="23">
        <f t="shared" si="9"/>
        <v>2</v>
      </c>
      <c r="Q61" s="43" t="s">
        <v>42</v>
      </c>
      <c r="R61">
        <v>4277</v>
      </c>
      <c r="T61" s="43" t="s">
        <v>115</v>
      </c>
      <c r="U61">
        <v>30600</v>
      </c>
      <c r="W61" s="43" t="s">
        <v>32</v>
      </c>
      <c r="X61">
        <v>977</v>
      </c>
      <c r="Z61" t="s">
        <v>161</v>
      </c>
      <c r="AA61">
        <v>48</v>
      </c>
    </row>
    <row r="62" spans="1:30" x14ac:dyDescent="0.35">
      <c r="A62" s="7" t="s">
        <v>121</v>
      </c>
      <c r="B62" s="8" t="s">
        <v>122</v>
      </c>
      <c r="C62" s="23">
        <v>28.776233729265329</v>
      </c>
      <c r="D62" s="23">
        <v>28.776233729265329</v>
      </c>
      <c r="E62" s="23">
        <v>0</v>
      </c>
      <c r="F62" s="23">
        <v>0</v>
      </c>
      <c r="G62" s="23">
        <v>0</v>
      </c>
      <c r="H62" s="23">
        <v>0</v>
      </c>
      <c r="I62" s="23">
        <f t="shared" si="5"/>
        <v>12</v>
      </c>
      <c r="J62" s="23" t="str">
        <f t="shared" si="6"/>
        <v>-</v>
      </c>
      <c r="K62" s="23">
        <f t="shared" si="7"/>
        <v>147</v>
      </c>
      <c r="L62" s="23" t="str">
        <f t="shared" si="8"/>
        <v>-</v>
      </c>
      <c r="M62" s="23" t="str">
        <f t="shared" si="9"/>
        <v>-</v>
      </c>
      <c r="Q62" s="43" t="s">
        <v>115</v>
      </c>
      <c r="R62">
        <v>27530</v>
      </c>
      <c r="T62" s="43" t="s">
        <v>130</v>
      </c>
      <c r="U62">
        <v>1341</v>
      </c>
      <c r="W62" s="43" t="s">
        <v>159</v>
      </c>
      <c r="X62">
        <v>1656</v>
      </c>
      <c r="Z62" t="s">
        <v>42</v>
      </c>
      <c r="AA62">
        <v>10400</v>
      </c>
    </row>
    <row r="63" spans="1:30" x14ac:dyDescent="0.35">
      <c r="A63" s="7" t="s">
        <v>123</v>
      </c>
      <c r="B63" s="8" t="s">
        <v>124</v>
      </c>
      <c r="C63" s="23">
        <v>21492.220072844528</v>
      </c>
      <c r="D63" s="23">
        <v>21492.220072844528</v>
      </c>
      <c r="E63" s="23">
        <v>256.26535626535616</v>
      </c>
      <c r="F63" s="23">
        <v>810.86854826134424</v>
      </c>
      <c r="G63" s="23">
        <v>176.86379628078404</v>
      </c>
      <c r="H63" s="23">
        <v>71.51999623083023</v>
      </c>
      <c r="I63" s="23">
        <f t="shared" si="5"/>
        <v>15012</v>
      </c>
      <c r="J63" s="23">
        <f t="shared" si="6"/>
        <v>11124</v>
      </c>
      <c r="K63" s="23">
        <f t="shared" si="7"/>
        <v>3984</v>
      </c>
      <c r="L63" s="23">
        <f t="shared" si="8"/>
        <v>26545</v>
      </c>
      <c r="M63" s="23">
        <f t="shared" si="9"/>
        <v>20376</v>
      </c>
      <c r="Q63" s="43" t="s">
        <v>130</v>
      </c>
      <c r="R63">
        <v>632</v>
      </c>
      <c r="T63" s="43" t="s">
        <v>162</v>
      </c>
      <c r="U63">
        <v>96</v>
      </c>
      <c r="W63" s="43" t="s">
        <v>124</v>
      </c>
      <c r="X63">
        <v>3984</v>
      </c>
      <c r="Z63" t="s">
        <v>115</v>
      </c>
      <c r="AA63">
        <v>95400</v>
      </c>
    </row>
    <row r="64" spans="1:30" x14ac:dyDescent="0.35">
      <c r="A64" s="3" t="s">
        <v>125</v>
      </c>
      <c r="B64" s="14"/>
      <c r="C64" s="14"/>
      <c r="D64" s="14"/>
      <c r="E64" s="14"/>
      <c r="F64" s="14"/>
      <c r="G64" s="14"/>
      <c r="H64" s="18"/>
      <c r="I64" s="14"/>
      <c r="J64" s="14"/>
      <c r="K64" s="14"/>
      <c r="L64" s="14"/>
      <c r="M64" s="14"/>
      <c r="Q64" s="43" t="s">
        <v>162</v>
      </c>
      <c r="R64">
        <v>874</v>
      </c>
      <c r="T64" s="43" t="s">
        <v>163</v>
      </c>
      <c r="U64">
        <v>240</v>
      </c>
      <c r="W64" s="43" t="s">
        <v>167</v>
      </c>
      <c r="X64">
        <v>144</v>
      </c>
      <c r="Z64" t="s">
        <v>130</v>
      </c>
      <c r="AA64">
        <v>200</v>
      </c>
    </row>
    <row r="65" spans="1:27" x14ac:dyDescent="0.35">
      <c r="A65" s="7" t="s">
        <v>126</v>
      </c>
      <c r="B65" s="15" t="s">
        <v>127</v>
      </c>
      <c r="C65" s="23">
        <v>3334.462832650207</v>
      </c>
      <c r="D65" s="23">
        <v>3334.462832650207</v>
      </c>
      <c r="E65" s="23">
        <v>0</v>
      </c>
      <c r="F65" s="23">
        <v>0</v>
      </c>
      <c r="G65" s="23">
        <v>0</v>
      </c>
      <c r="H65" s="23">
        <v>0</v>
      </c>
      <c r="I65" s="23">
        <f t="shared" si="5"/>
        <v>1636</v>
      </c>
      <c r="J65" s="23">
        <f t="shared" si="6"/>
        <v>1008</v>
      </c>
      <c r="K65" s="23">
        <f t="shared" si="7"/>
        <v>873</v>
      </c>
      <c r="L65" s="23">
        <f t="shared" si="8"/>
        <v>72</v>
      </c>
      <c r="M65" s="23">
        <f t="shared" si="9"/>
        <v>72</v>
      </c>
      <c r="Q65" s="43" t="s">
        <v>163</v>
      </c>
      <c r="R65">
        <v>58</v>
      </c>
      <c r="T65" s="43" t="s">
        <v>164</v>
      </c>
      <c r="U65">
        <v>432</v>
      </c>
      <c r="W65" s="43" t="s">
        <v>127</v>
      </c>
      <c r="X65">
        <v>873</v>
      </c>
      <c r="Z65" t="s">
        <v>162</v>
      </c>
      <c r="AA65">
        <v>48</v>
      </c>
    </row>
    <row r="66" spans="1:27" x14ac:dyDescent="0.35">
      <c r="A66" s="3" t="s">
        <v>128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Q66" s="43" t="s">
        <v>164</v>
      </c>
      <c r="R66">
        <v>720</v>
      </c>
      <c r="W66" t="s">
        <v>160</v>
      </c>
      <c r="X66">
        <v>384</v>
      </c>
      <c r="Z66" t="s">
        <v>164</v>
      </c>
      <c r="AA66">
        <v>96</v>
      </c>
    </row>
    <row r="67" spans="1:27" x14ac:dyDescent="0.35">
      <c r="A67" s="7" t="s">
        <v>129</v>
      </c>
      <c r="B67" s="8" t="s">
        <v>130</v>
      </c>
      <c r="C67" s="23">
        <v>0</v>
      </c>
      <c r="D67" s="23">
        <v>112.43659123752414</v>
      </c>
      <c r="E67" s="23">
        <v>30</v>
      </c>
      <c r="F67" s="23">
        <v>56.325435851586946</v>
      </c>
      <c r="G67" s="23">
        <v>0</v>
      </c>
      <c r="H67" s="23">
        <v>0</v>
      </c>
      <c r="I67" s="23">
        <f t="shared" si="5"/>
        <v>632</v>
      </c>
      <c r="J67" s="23">
        <f t="shared" si="6"/>
        <v>1341</v>
      </c>
      <c r="K67" s="23">
        <f t="shared" si="7"/>
        <v>1580</v>
      </c>
      <c r="L67" s="23">
        <f t="shared" si="8"/>
        <v>200</v>
      </c>
      <c r="M67" s="23">
        <f t="shared" si="9"/>
        <v>140</v>
      </c>
      <c r="W67" t="s">
        <v>122</v>
      </c>
      <c r="X67">
        <v>147</v>
      </c>
    </row>
    <row r="68" spans="1:27" x14ac:dyDescent="0.35">
      <c r="A68" s="3" t="s">
        <v>131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W68" t="s">
        <v>133</v>
      </c>
      <c r="X68">
        <v>144</v>
      </c>
    </row>
    <row r="69" spans="1:27" x14ac:dyDescent="0.35">
      <c r="A69" s="7" t="s">
        <v>132</v>
      </c>
      <c r="B69" s="8" t="s">
        <v>133</v>
      </c>
      <c r="C69" s="23" t="s">
        <v>149</v>
      </c>
      <c r="D69" s="23" t="s">
        <v>149</v>
      </c>
      <c r="E69" s="23">
        <v>1200</v>
      </c>
      <c r="F69" s="23">
        <v>120</v>
      </c>
      <c r="G69" s="23">
        <v>100</v>
      </c>
      <c r="H69" s="23">
        <v>0</v>
      </c>
      <c r="I69" s="23" t="str">
        <f t="shared" si="5"/>
        <v>-</v>
      </c>
      <c r="J69" s="23" t="str">
        <f t="shared" si="6"/>
        <v>-</v>
      </c>
      <c r="K69" s="23">
        <f t="shared" si="7"/>
        <v>144</v>
      </c>
      <c r="L69" s="23">
        <f t="shared" si="8"/>
        <v>642</v>
      </c>
      <c r="M69" s="23" t="str">
        <f t="shared" si="9"/>
        <v>-</v>
      </c>
      <c r="W69" t="s">
        <v>135</v>
      </c>
      <c r="X69">
        <v>384</v>
      </c>
    </row>
    <row r="70" spans="1:27" x14ac:dyDescent="0.35">
      <c r="A70" s="7" t="s">
        <v>134</v>
      </c>
      <c r="B70" s="8" t="s">
        <v>135</v>
      </c>
      <c r="C70" s="23" t="s">
        <v>149</v>
      </c>
      <c r="D70" s="23" t="s">
        <v>149</v>
      </c>
      <c r="E70" s="23">
        <v>700</v>
      </c>
      <c r="F70" s="23">
        <v>70</v>
      </c>
      <c r="G70" s="23">
        <v>100</v>
      </c>
      <c r="H70" s="23">
        <v>0</v>
      </c>
      <c r="I70" s="23" t="str">
        <f t="shared" si="5"/>
        <v>-</v>
      </c>
      <c r="J70" s="23" t="str">
        <f t="shared" si="6"/>
        <v>-</v>
      </c>
      <c r="K70" s="23">
        <f t="shared" si="7"/>
        <v>384</v>
      </c>
      <c r="L70" s="23">
        <f t="shared" si="8"/>
        <v>477</v>
      </c>
      <c r="M70" s="23" t="str">
        <f t="shared" si="9"/>
        <v>-</v>
      </c>
      <c r="W70" t="s">
        <v>42</v>
      </c>
      <c r="X70">
        <v>3434</v>
      </c>
    </row>
    <row r="71" spans="1:27" x14ac:dyDescent="0.35">
      <c r="A71" s="7" t="s">
        <v>136</v>
      </c>
      <c r="B71" s="8" t="s">
        <v>137</v>
      </c>
      <c r="C71" s="23" t="s">
        <v>149</v>
      </c>
      <c r="D71" s="23" t="s">
        <v>149</v>
      </c>
      <c r="E71" s="23">
        <v>50</v>
      </c>
      <c r="F71" s="23">
        <v>50</v>
      </c>
      <c r="G71" s="23">
        <v>0</v>
      </c>
      <c r="H71" s="23">
        <v>0</v>
      </c>
      <c r="I71" s="23">
        <f t="shared" si="5"/>
        <v>56</v>
      </c>
      <c r="J71" s="23">
        <f t="shared" si="6"/>
        <v>420</v>
      </c>
      <c r="K71" s="23">
        <f t="shared" si="7"/>
        <v>186</v>
      </c>
      <c r="L71" s="23">
        <f t="shared" si="8"/>
        <v>240</v>
      </c>
      <c r="M71" s="23">
        <f t="shared" si="9"/>
        <v>120</v>
      </c>
      <c r="W71" t="s">
        <v>115</v>
      </c>
      <c r="X71">
        <v>57900</v>
      </c>
    </row>
    <row r="72" spans="1:27" x14ac:dyDescent="0.35">
      <c r="A72" s="7" t="s">
        <v>138</v>
      </c>
      <c r="B72" s="8" t="s">
        <v>139</v>
      </c>
      <c r="C72" s="23" t="s">
        <v>149</v>
      </c>
      <c r="D72" s="23" t="s">
        <v>149</v>
      </c>
      <c r="E72" s="23">
        <v>50</v>
      </c>
      <c r="F72" s="23">
        <v>50</v>
      </c>
      <c r="G72" s="23">
        <v>0</v>
      </c>
      <c r="H72" s="23">
        <v>0</v>
      </c>
      <c r="I72" s="23">
        <f t="shared" si="5"/>
        <v>50</v>
      </c>
      <c r="J72" s="23">
        <f t="shared" si="6"/>
        <v>130</v>
      </c>
      <c r="K72" s="23">
        <f t="shared" si="7"/>
        <v>226</v>
      </c>
      <c r="L72" s="23">
        <f t="shared" si="8"/>
        <v>220</v>
      </c>
      <c r="M72" s="23">
        <f t="shared" si="9"/>
        <v>130</v>
      </c>
      <c r="W72" t="s">
        <v>130</v>
      </c>
      <c r="X72">
        <v>1580</v>
      </c>
    </row>
    <row r="73" spans="1:27" x14ac:dyDescent="0.35">
      <c r="A73" s="7" t="s">
        <v>140</v>
      </c>
      <c r="B73" s="8" t="s">
        <v>141</v>
      </c>
      <c r="C73" s="23" t="s">
        <v>149</v>
      </c>
      <c r="D73" s="23" t="s">
        <v>149</v>
      </c>
      <c r="E73" s="23">
        <v>400</v>
      </c>
      <c r="F73" s="23">
        <v>40</v>
      </c>
      <c r="G73" s="23">
        <v>50</v>
      </c>
      <c r="H73" s="23">
        <v>0</v>
      </c>
      <c r="I73" s="23" t="str">
        <f t="shared" si="5"/>
        <v>-</v>
      </c>
      <c r="J73" s="23" t="str">
        <f t="shared" si="6"/>
        <v>-</v>
      </c>
      <c r="K73" s="23">
        <f t="shared" si="7"/>
        <v>384</v>
      </c>
      <c r="L73" s="23">
        <f t="shared" si="8"/>
        <v>744</v>
      </c>
      <c r="M73" s="23" t="str">
        <f t="shared" si="9"/>
        <v>-</v>
      </c>
      <c r="W73" t="s">
        <v>162</v>
      </c>
      <c r="X73">
        <v>96</v>
      </c>
    </row>
    <row r="74" spans="1:27" x14ac:dyDescent="0.35">
      <c r="A74" s="7" t="s">
        <v>142</v>
      </c>
      <c r="B74" s="8" t="s">
        <v>143</v>
      </c>
      <c r="C74" s="23" t="s">
        <v>149</v>
      </c>
      <c r="D74" s="23" t="s">
        <v>149</v>
      </c>
      <c r="E74" s="23">
        <v>50</v>
      </c>
      <c r="F74" s="23">
        <v>50</v>
      </c>
      <c r="G74" s="23">
        <v>0</v>
      </c>
      <c r="H74" s="23">
        <v>0</v>
      </c>
      <c r="I74" s="23" t="str">
        <f t="shared" si="5"/>
        <v>-</v>
      </c>
      <c r="J74" s="23">
        <f t="shared" si="6"/>
        <v>20</v>
      </c>
      <c r="K74" s="23">
        <f t="shared" si="7"/>
        <v>204</v>
      </c>
      <c r="L74" s="23">
        <f t="shared" si="8"/>
        <v>218</v>
      </c>
      <c r="M74" s="23">
        <f t="shared" si="9"/>
        <v>30</v>
      </c>
      <c r="W74" t="s">
        <v>164</v>
      </c>
      <c r="X74">
        <v>96</v>
      </c>
    </row>
    <row r="75" spans="1:27" x14ac:dyDescent="0.35">
      <c r="A75" s="7" t="s">
        <v>144</v>
      </c>
      <c r="B75" s="8" t="s">
        <v>145</v>
      </c>
      <c r="C75" s="23" t="s">
        <v>149</v>
      </c>
      <c r="D75" s="23" t="s">
        <v>149</v>
      </c>
      <c r="E75" s="23" t="s">
        <v>149</v>
      </c>
      <c r="F75" s="23" t="s">
        <v>149</v>
      </c>
      <c r="G75" s="23">
        <v>20</v>
      </c>
      <c r="H75" s="23">
        <v>0</v>
      </c>
      <c r="I75" s="23" t="str">
        <f t="shared" si="5"/>
        <v>-</v>
      </c>
      <c r="J75" s="23" t="str">
        <f t="shared" si="6"/>
        <v>-</v>
      </c>
      <c r="K75" s="23" t="str">
        <f t="shared" si="7"/>
        <v>-</v>
      </c>
      <c r="L75" s="23" t="str">
        <f t="shared" si="8"/>
        <v>-</v>
      </c>
      <c r="M75" s="23" t="str">
        <f t="shared" si="9"/>
        <v>-</v>
      </c>
    </row>
  </sheetData>
  <autoFilter ref="AC3:AD34" xr:uid="{8B2561C7-B194-43D5-9CF7-C85B5952A66C}"/>
  <mergeCells count="2">
    <mergeCell ref="C1:H1"/>
    <mergeCell ref="I1:M1"/>
  </mergeCells>
  <conditionalFormatting sqref="B65">
    <cfRule type="duplicateValues" dxfId="25" priority="1"/>
  </conditionalFormatting>
  <hyperlinks>
    <hyperlink ref="B75" r:id="rId1" display="https://sellercentral.amazon.in/skucentral?mSku=SANYF01&amp;condition=New&amp;ref_=myp_skuc" xr:uid="{8CD54B25-82D0-4199-91FE-DB97EA144EA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5999E-3803-4651-8FDB-4784889EBFD0}">
  <dimension ref="A1:H74"/>
  <sheetViews>
    <sheetView workbookViewId="0">
      <selection activeCell="B1" sqref="B1"/>
    </sheetView>
  </sheetViews>
  <sheetFormatPr defaultRowHeight="14.5" x14ac:dyDescent="0.35"/>
  <cols>
    <col min="1" max="1" width="56.453125" customWidth="1"/>
    <col min="2" max="2" width="11.90625" bestFit="1" customWidth="1"/>
    <col min="3" max="8" width="13.453125" bestFit="1" customWidth="1"/>
  </cols>
  <sheetData>
    <row r="1" spans="1:8" x14ac:dyDescent="0.35">
      <c r="B1" s="19" t="s">
        <v>146</v>
      </c>
      <c r="C1" s="27">
        <v>46113</v>
      </c>
      <c r="D1" s="27">
        <v>46143</v>
      </c>
      <c r="E1" s="27">
        <v>46174</v>
      </c>
      <c r="F1" s="27">
        <v>46204</v>
      </c>
      <c r="G1" s="27">
        <v>46235</v>
      </c>
      <c r="H1" s="27">
        <v>46266</v>
      </c>
    </row>
    <row r="2" spans="1:8" x14ac:dyDescent="0.35">
      <c r="A2" s="1" t="s">
        <v>11</v>
      </c>
      <c r="B2" s="2"/>
      <c r="C2" s="21" t="s">
        <v>148</v>
      </c>
      <c r="D2" s="21" t="s">
        <v>148</v>
      </c>
      <c r="E2" s="21" t="s">
        <v>148</v>
      </c>
      <c r="F2" s="21" t="s">
        <v>148</v>
      </c>
      <c r="G2" s="21" t="s">
        <v>148</v>
      </c>
      <c r="H2" s="21" t="s">
        <v>148</v>
      </c>
    </row>
    <row r="3" spans="1:8" x14ac:dyDescent="0.35">
      <c r="A3" s="3" t="s">
        <v>12</v>
      </c>
      <c r="B3" s="4"/>
      <c r="C3" s="4"/>
      <c r="D3" s="4"/>
      <c r="E3" s="4"/>
      <c r="F3" s="4"/>
      <c r="G3" s="4"/>
      <c r="H3" s="22"/>
    </row>
    <row r="4" spans="1:8" x14ac:dyDescent="0.35">
      <c r="A4" s="5" t="s">
        <v>13</v>
      </c>
      <c r="B4" s="6" t="s">
        <v>14</v>
      </c>
      <c r="C4" s="23">
        <v>4824.389219254298</v>
      </c>
      <c r="D4" s="23">
        <v>4824.389219254298</v>
      </c>
      <c r="E4" s="23">
        <v>6604.6210773021785</v>
      </c>
      <c r="F4" s="23">
        <v>6367.1649564410727</v>
      </c>
      <c r="G4" s="23">
        <v>8770.2742790180237</v>
      </c>
      <c r="H4" s="23">
        <v>8608.9283788153825</v>
      </c>
    </row>
    <row r="5" spans="1:8" x14ac:dyDescent="0.35">
      <c r="A5" s="7" t="s">
        <v>15</v>
      </c>
      <c r="B5" s="8" t="s">
        <v>16</v>
      </c>
      <c r="C5" s="23">
        <v>3608.5633695479537</v>
      </c>
      <c r="D5" s="23">
        <v>3608.5633695479537</v>
      </c>
      <c r="E5" s="23">
        <v>16179.746820799835</v>
      </c>
      <c r="F5" s="23">
        <v>21270.28221382706</v>
      </c>
      <c r="G5" s="23">
        <v>20005.970428420165</v>
      </c>
      <c r="H5" s="23">
        <v>22198.484146304745</v>
      </c>
    </row>
    <row r="6" spans="1:8" x14ac:dyDescent="0.35">
      <c r="A6" s="7" t="s">
        <v>17</v>
      </c>
      <c r="B6" s="8" t="s">
        <v>18</v>
      </c>
      <c r="C6" s="23" t="s">
        <v>149</v>
      </c>
      <c r="D6" s="23" t="s">
        <v>149</v>
      </c>
      <c r="E6" s="23" t="s">
        <v>149</v>
      </c>
      <c r="F6" s="23" t="s">
        <v>149</v>
      </c>
      <c r="G6" s="23" t="s">
        <v>149</v>
      </c>
      <c r="H6" s="23" t="s">
        <v>149</v>
      </c>
    </row>
    <row r="7" spans="1:8" x14ac:dyDescent="0.35">
      <c r="A7" s="5" t="s">
        <v>19</v>
      </c>
      <c r="B7" s="9" t="s">
        <v>20</v>
      </c>
      <c r="C7" s="23">
        <v>3269.2320037952613</v>
      </c>
      <c r="D7" s="23">
        <v>3269.2320037952613</v>
      </c>
      <c r="E7" s="23">
        <v>5738.7259320448566</v>
      </c>
      <c r="F7" s="23">
        <v>5257.0979327409095</v>
      </c>
      <c r="G7" s="23">
        <v>6080.2195532364412</v>
      </c>
      <c r="H7" s="23">
        <v>6032.8425208679882</v>
      </c>
    </row>
    <row r="8" spans="1:8" x14ac:dyDescent="0.35">
      <c r="A8" s="7" t="s">
        <v>21</v>
      </c>
      <c r="B8" s="8" t="s">
        <v>22</v>
      </c>
      <c r="C8" s="23">
        <v>6989.6825054466335</v>
      </c>
      <c r="D8" s="23">
        <v>6989.6825054466335</v>
      </c>
      <c r="E8" s="23">
        <v>8833.3945742667856</v>
      </c>
      <c r="F8" s="23">
        <v>9891.0613102968564</v>
      </c>
      <c r="G8" s="23">
        <v>8546.0802916966022</v>
      </c>
      <c r="H8" s="23">
        <v>9543.9420564457796</v>
      </c>
    </row>
    <row r="9" spans="1:8" x14ac:dyDescent="0.35">
      <c r="A9" s="5" t="s">
        <v>23</v>
      </c>
      <c r="B9" s="6" t="s">
        <v>24</v>
      </c>
      <c r="C9" s="23">
        <v>668.84615966389015</v>
      </c>
      <c r="D9" s="23">
        <v>668.84615966389015</v>
      </c>
      <c r="E9" s="23">
        <v>1672.6889365531001</v>
      </c>
      <c r="F9" s="23">
        <v>1403.271015692218</v>
      </c>
      <c r="G9" s="23">
        <v>1874.9507803766433</v>
      </c>
      <c r="H9" s="23">
        <v>1168.0839258677945</v>
      </c>
    </row>
    <row r="10" spans="1:8" x14ac:dyDescent="0.35">
      <c r="A10" s="7" t="s">
        <v>25</v>
      </c>
      <c r="B10" s="8" t="s">
        <v>26</v>
      </c>
      <c r="C10" s="23">
        <v>160.6988583770441</v>
      </c>
      <c r="D10" s="23">
        <v>160.6988583770441</v>
      </c>
      <c r="E10" s="23">
        <v>2190.0372821428787</v>
      </c>
      <c r="F10" s="23">
        <v>2447.4232274310275</v>
      </c>
      <c r="G10" s="23">
        <v>1892.3589566816042</v>
      </c>
      <c r="H10" s="23">
        <v>1447.7605341115086</v>
      </c>
    </row>
    <row r="11" spans="1:8" x14ac:dyDescent="0.35">
      <c r="A11" s="10" t="s">
        <v>27</v>
      </c>
      <c r="B11" s="6" t="s">
        <v>28</v>
      </c>
      <c r="C11" s="23">
        <v>3069.1436737253807</v>
      </c>
      <c r="D11" s="23">
        <v>3069.1436737253807</v>
      </c>
      <c r="E11" s="23">
        <v>9909.5575935900815</v>
      </c>
      <c r="F11" s="23">
        <v>9531.2714929212525</v>
      </c>
      <c r="G11" s="23">
        <v>9747.9765374335147</v>
      </c>
      <c r="H11" s="23">
        <v>10939.820945635955</v>
      </c>
    </row>
    <row r="12" spans="1:8" x14ac:dyDescent="0.35">
      <c r="A12" s="10" t="s">
        <v>29</v>
      </c>
      <c r="B12" s="6" t="s">
        <v>30</v>
      </c>
      <c r="C12" s="23" t="s">
        <v>149</v>
      </c>
      <c r="D12" s="23" t="s">
        <v>149</v>
      </c>
      <c r="E12" s="23">
        <v>1710.5263157894735</v>
      </c>
      <c r="F12" s="23">
        <v>1378.0286343612338</v>
      </c>
      <c r="G12" s="23">
        <v>1687.1652449910785</v>
      </c>
      <c r="H12" s="23">
        <v>1861.2226138166736</v>
      </c>
    </row>
    <row r="13" spans="1:8" x14ac:dyDescent="0.35">
      <c r="A13" s="10" t="s">
        <v>31</v>
      </c>
      <c r="B13" s="6" t="s">
        <v>32</v>
      </c>
      <c r="C13" s="23" t="s">
        <v>149</v>
      </c>
      <c r="D13" s="23" t="s">
        <v>149</v>
      </c>
      <c r="E13" s="23">
        <v>1507.6923076923076</v>
      </c>
      <c r="F13" s="23">
        <v>960.92544987146562</v>
      </c>
      <c r="G13" s="23">
        <v>1156.9820111298068</v>
      </c>
      <c r="H13" s="23">
        <v>1629.9747222759636</v>
      </c>
    </row>
    <row r="14" spans="1:8" x14ac:dyDescent="0.35">
      <c r="A14" s="10" t="s">
        <v>33</v>
      </c>
      <c r="B14" s="8" t="s">
        <v>34</v>
      </c>
      <c r="C14" s="23">
        <v>545.18781164289339</v>
      </c>
      <c r="D14" s="23">
        <v>545.18781164289339</v>
      </c>
      <c r="E14" s="23">
        <v>3220.4921333867619</v>
      </c>
      <c r="F14" s="23">
        <v>3678.4012031466909</v>
      </c>
      <c r="G14" s="23">
        <v>3373.1945342252843</v>
      </c>
      <c r="H14" s="23">
        <v>1977.2922650332728</v>
      </c>
    </row>
    <row r="15" spans="1:8" x14ac:dyDescent="0.35">
      <c r="A15" s="10" t="s">
        <v>35</v>
      </c>
      <c r="B15" s="8" t="s">
        <v>36</v>
      </c>
      <c r="C15" s="23">
        <v>444.16266159982575</v>
      </c>
      <c r="D15" s="23">
        <v>444.16266159982575</v>
      </c>
      <c r="E15" s="23">
        <v>2686.6888481029646</v>
      </c>
      <c r="F15" s="23">
        <v>2395.5272396307378</v>
      </c>
      <c r="G15" s="23">
        <v>2222.5522320154146</v>
      </c>
      <c r="H15" s="23">
        <v>1417.7812241224995</v>
      </c>
    </row>
    <row r="16" spans="1:8" x14ac:dyDescent="0.35">
      <c r="A16" s="10" t="s">
        <v>37</v>
      </c>
      <c r="B16" s="6" t="s">
        <v>38</v>
      </c>
      <c r="C16" s="23">
        <v>1528.6525105298042</v>
      </c>
      <c r="D16" s="23">
        <v>1528.6525105298042</v>
      </c>
      <c r="E16" s="23">
        <v>3311.2186036051753</v>
      </c>
      <c r="F16" s="23">
        <v>3193.9137787965969</v>
      </c>
      <c r="G16" s="23">
        <v>4276.4595744224271</v>
      </c>
      <c r="H16" s="23">
        <v>6848.3964005754979</v>
      </c>
    </row>
    <row r="17" spans="1:8" x14ac:dyDescent="0.35">
      <c r="A17" s="5" t="s">
        <v>39</v>
      </c>
      <c r="B17" s="6" t="s">
        <v>40</v>
      </c>
      <c r="C17" s="23">
        <v>122.04213839897383</v>
      </c>
      <c r="D17" s="23">
        <v>122.04213839897383</v>
      </c>
      <c r="E17" s="23">
        <v>525.60429427649353</v>
      </c>
      <c r="F17" s="23">
        <v>439.54480796586068</v>
      </c>
      <c r="G17" s="23">
        <v>712.9219194210732</v>
      </c>
      <c r="H17" s="23">
        <v>911.5735408560314</v>
      </c>
    </row>
    <row r="18" spans="1:8" x14ac:dyDescent="0.35">
      <c r="A18" s="7" t="s">
        <v>41</v>
      </c>
      <c r="B18" s="8" t="s">
        <v>42</v>
      </c>
      <c r="C18" s="23">
        <v>648.60357562950537</v>
      </c>
      <c r="D18" s="23">
        <v>648.60357562950537</v>
      </c>
      <c r="E18" s="23">
        <v>1357.5498934993661</v>
      </c>
      <c r="F18" s="23">
        <v>1165.4551706303696</v>
      </c>
      <c r="G18" s="23">
        <v>1637.8157216760264</v>
      </c>
      <c r="H18" s="23">
        <v>2002.3914573762497</v>
      </c>
    </row>
    <row r="19" spans="1:8" x14ac:dyDescent="0.35">
      <c r="A19" s="3" t="s">
        <v>43</v>
      </c>
      <c r="B19" s="4"/>
      <c r="C19" s="4"/>
      <c r="D19" s="4"/>
      <c r="E19" s="4"/>
      <c r="F19" s="4"/>
      <c r="G19" s="4"/>
      <c r="H19" s="24"/>
    </row>
    <row r="20" spans="1:8" x14ac:dyDescent="0.35">
      <c r="A20" s="5" t="s">
        <v>44</v>
      </c>
      <c r="B20" s="6" t="s">
        <v>45</v>
      </c>
      <c r="C20" s="23">
        <v>5157.3719515871298</v>
      </c>
      <c r="D20" s="23">
        <v>5157.3719515871298</v>
      </c>
      <c r="E20" s="23">
        <v>7852.0946720339389</v>
      </c>
      <c r="F20" s="23">
        <v>9217.147331612563</v>
      </c>
      <c r="G20" s="23">
        <v>10395.652334762219</v>
      </c>
      <c r="H20" s="23">
        <v>10020.208196402991</v>
      </c>
    </row>
    <row r="21" spans="1:8" x14ac:dyDescent="0.35">
      <c r="A21" s="5" t="s">
        <v>46</v>
      </c>
      <c r="B21" s="6" t="s">
        <v>47</v>
      </c>
      <c r="C21" s="23" t="s">
        <v>149</v>
      </c>
      <c r="D21" s="23" t="s">
        <v>149</v>
      </c>
      <c r="E21" s="23">
        <v>152.28426395939084</v>
      </c>
      <c r="F21" s="23">
        <v>251.04602510460279</v>
      </c>
      <c r="G21" s="23">
        <v>400</v>
      </c>
      <c r="H21" s="23">
        <v>400.54495912806567</v>
      </c>
    </row>
    <row r="22" spans="1:8" x14ac:dyDescent="0.35">
      <c r="A22" s="10" t="s">
        <v>48</v>
      </c>
      <c r="B22" s="6" t="s">
        <v>49</v>
      </c>
      <c r="C22" s="23">
        <v>2533.8867423164829</v>
      </c>
      <c r="D22" s="23">
        <v>2533.8867423164829</v>
      </c>
      <c r="E22" s="23">
        <v>5602.3429741684959</v>
      </c>
      <c r="F22" s="23">
        <v>5528.6310960978026</v>
      </c>
      <c r="G22" s="23">
        <v>7567.2725193753386</v>
      </c>
      <c r="H22" s="23">
        <v>9524.2768316273796</v>
      </c>
    </row>
    <row r="23" spans="1:8" x14ac:dyDescent="0.35">
      <c r="A23" s="5" t="s">
        <v>50</v>
      </c>
      <c r="B23" s="6" t="s">
        <v>51</v>
      </c>
      <c r="C23" s="23">
        <v>16974.40987440668</v>
      </c>
      <c r="D23" s="23">
        <v>16974.40987440668</v>
      </c>
      <c r="E23" s="23">
        <v>39996.933690507707</v>
      </c>
      <c r="F23" s="23">
        <v>41040.964727191669</v>
      </c>
      <c r="G23" s="23">
        <v>55521.255639827163</v>
      </c>
      <c r="H23" s="23">
        <v>57951.065942643581</v>
      </c>
    </row>
    <row r="24" spans="1:8" x14ac:dyDescent="0.35">
      <c r="A24" s="5" t="s">
        <v>52</v>
      </c>
      <c r="B24" s="6" t="s">
        <v>53</v>
      </c>
      <c r="C24" s="23">
        <v>2375.1389161167308</v>
      </c>
      <c r="D24" s="23">
        <v>2375.1389161167308</v>
      </c>
      <c r="E24" s="23">
        <v>3861.334140071559</v>
      </c>
      <c r="F24" s="23">
        <v>3815.4189638968433</v>
      </c>
      <c r="G24" s="23">
        <v>4132.3844685607837</v>
      </c>
      <c r="H24" s="23">
        <v>4479.4403174926229</v>
      </c>
    </row>
    <row r="25" spans="1:8" x14ac:dyDescent="0.35">
      <c r="A25" s="10" t="s">
        <v>54</v>
      </c>
      <c r="B25" s="6" t="s">
        <v>55</v>
      </c>
      <c r="C25" s="23">
        <v>2202.0719035077145</v>
      </c>
      <c r="D25" s="23">
        <v>2202.0719035077145</v>
      </c>
      <c r="E25" s="23">
        <v>3308.4920190632142</v>
      </c>
      <c r="F25" s="23">
        <v>3588.9581840391556</v>
      </c>
      <c r="G25" s="23">
        <v>2812.5324659865059</v>
      </c>
      <c r="H25" s="23">
        <v>2515.1016429611127</v>
      </c>
    </row>
    <row r="26" spans="1:8" x14ac:dyDescent="0.35">
      <c r="A26" s="10" t="s">
        <v>56</v>
      </c>
      <c r="B26" s="11" t="s">
        <v>57</v>
      </c>
      <c r="C26" s="23">
        <v>1282.7796603327452</v>
      </c>
      <c r="D26" s="23">
        <v>1282.7796603327452</v>
      </c>
      <c r="E26" s="23">
        <v>2264.1926053006587</v>
      </c>
      <c r="F26" s="23">
        <v>2429.9866550429474</v>
      </c>
      <c r="G26" s="23">
        <v>2780.9746107910178</v>
      </c>
      <c r="H26" s="23">
        <v>2526.5618182081103</v>
      </c>
    </row>
    <row r="27" spans="1:8" x14ac:dyDescent="0.35">
      <c r="A27" s="10" t="s">
        <v>58</v>
      </c>
      <c r="B27" s="11" t="s">
        <v>59</v>
      </c>
      <c r="C27" s="23">
        <v>2479.0569261418041</v>
      </c>
      <c r="D27" s="23">
        <v>2479.0569261418041</v>
      </c>
      <c r="E27" s="23">
        <v>4215.8944366507712</v>
      </c>
      <c r="F27" s="23">
        <v>3963.5174461592119</v>
      </c>
      <c r="G27" s="23">
        <v>5129.6382221847325</v>
      </c>
      <c r="H27" s="23">
        <v>5015.1310586341242</v>
      </c>
    </row>
    <row r="28" spans="1:8" x14ac:dyDescent="0.35">
      <c r="A28" s="10" t="s">
        <v>60</v>
      </c>
      <c r="B28" s="11" t="s">
        <v>61</v>
      </c>
      <c r="C28" s="23">
        <v>6586.5920035510662</v>
      </c>
      <c r="D28" s="23">
        <v>6586.5920035510662</v>
      </c>
      <c r="E28" s="23">
        <v>16296.132848252904</v>
      </c>
      <c r="F28" s="23">
        <v>16195.91032062562</v>
      </c>
      <c r="G28" s="23">
        <v>17856.558060103373</v>
      </c>
      <c r="H28" s="23">
        <v>20644.073774634497</v>
      </c>
    </row>
    <row r="29" spans="1:8" x14ac:dyDescent="0.35">
      <c r="A29" s="10" t="s">
        <v>62</v>
      </c>
      <c r="B29" s="6" t="s">
        <v>63</v>
      </c>
      <c r="C29" s="23">
        <v>577.70178021630556</v>
      </c>
      <c r="D29" s="23">
        <v>577.70178021630556</v>
      </c>
      <c r="E29" s="23">
        <v>991.24230887742203</v>
      </c>
      <c r="F29" s="23">
        <v>970.58161517474787</v>
      </c>
      <c r="G29" s="23">
        <v>1017.3097690727019</v>
      </c>
      <c r="H29" s="23">
        <v>1078.4324472130418</v>
      </c>
    </row>
    <row r="30" spans="1:8" x14ac:dyDescent="0.35">
      <c r="A30" s="12" t="s">
        <v>64</v>
      </c>
      <c r="B30" s="13" t="s">
        <v>65</v>
      </c>
      <c r="C30" s="23">
        <v>10.407042621807722</v>
      </c>
      <c r="D30" s="23">
        <v>10.407042621807722</v>
      </c>
      <c r="E30" s="23">
        <v>0</v>
      </c>
      <c r="F30" s="23">
        <v>0</v>
      </c>
      <c r="G30" s="23">
        <v>0</v>
      </c>
      <c r="H30" s="23">
        <v>0</v>
      </c>
    </row>
    <row r="31" spans="1:8" x14ac:dyDescent="0.35">
      <c r="A31" s="3" t="s">
        <v>66</v>
      </c>
      <c r="B31" s="14"/>
      <c r="C31" s="14"/>
      <c r="D31" s="14"/>
      <c r="E31" s="14"/>
      <c r="F31" s="14"/>
      <c r="G31" s="14"/>
      <c r="H31" s="18"/>
    </row>
    <row r="32" spans="1:8" x14ac:dyDescent="0.35">
      <c r="A32" s="10" t="s">
        <v>67</v>
      </c>
      <c r="B32" s="6" t="s">
        <v>68</v>
      </c>
      <c r="C32" s="23">
        <v>8401.0665761798373</v>
      </c>
      <c r="D32" s="23">
        <v>8401.0665761798373</v>
      </c>
      <c r="E32" s="23">
        <v>19803.482022956767</v>
      </c>
      <c r="F32" s="23">
        <v>16773.958552495569</v>
      </c>
      <c r="G32" s="23">
        <v>18236.403983906141</v>
      </c>
      <c r="H32" s="23">
        <v>19720.943246911451</v>
      </c>
    </row>
    <row r="33" spans="1:8" x14ac:dyDescent="0.35">
      <c r="A33" s="5" t="s">
        <v>69</v>
      </c>
      <c r="B33" s="6" t="s">
        <v>70</v>
      </c>
      <c r="C33" s="23">
        <v>2542.2209881590338</v>
      </c>
      <c r="D33" s="23">
        <v>2542.2209881590338</v>
      </c>
      <c r="E33" s="23">
        <v>4962.3874232479575</v>
      </c>
      <c r="F33" s="23">
        <v>4253.7442430421825</v>
      </c>
      <c r="G33" s="23">
        <v>4312.4130955967839</v>
      </c>
      <c r="H33" s="23">
        <v>4568.4806253050328</v>
      </c>
    </row>
    <row r="34" spans="1:8" x14ac:dyDescent="0.35">
      <c r="A34" s="5" t="s">
        <v>71</v>
      </c>
      <c r="B34" s="15" t="s">
        <v>72</v>
      </c>
      <c r="C34" s="23">
        <v>1799.7225405557344</v>
      </c>
      <c r="D34" s="23">
        <v>1799.7225405557344</v>
      </c>
      <c r="E34" s="23">
        <v>4042.169074002556</v>
      </c>
      <c r="F34" s="23">
        <v>3634.2064732837939</v>
      </c>
      <c r="G34" s="23">
        <v>3898.0463168616611</v>
      </c>
      <c r="H34" s="23">
        <v>4850.2075845934787</v>
      </c>
    </row>
    <row r="35" spans="1:8" x14ac:dyDescent="0.35">
      <c r="A35" s="10" t="s">
        <v>73</v>
      </c>
      <c r="B35" s="6" t="s">
        <v>74</v>
      </c>
      <c r="C35" s="23">
        <v>474.49231538066653</v>
      </c>
      <c r="D35" s="23">
        <v>474.49231538066653</v>
      </c>
      <c r="E35" s="23">
        <v>726.78196934474602</v>
      </c>
      <c r="F35" s="23">
        <v>687.40796205828508</v>
      </c>
      <c r="G35" s="23">
        <v>914.56552905683327</v>
      </c>
      <c r="H35" s="23">
        <v>699.32922077922046</v>
      </c>
    </row>
    <row r="36" spans="1:8" x14ac:dyDescent="0.35">
      <c r="A36" s="10" t="s">
        <v>75</v>
      </c>
      <c r="B36" s="6" t="s">
        <v>76</v>
      </c>
      <c r="C36" s="23">
        <v>652.52379899877178</v>
      </c>
      <c r="D36" s="23">
        <v>652.52379899877178</v>
      </c>
      <c r="E36" s="23">
        <v>885.75173949702662</v>
      </c>
      <c r="F36" s="23">
        <v>908.51549863867308</v>
      </c>
      <c r="G36" s="23">
        <v>1072.2223301439785</v>
      </c>
      <c r="H36" s="23">
        <v>963.76428571428573</v>
      </c>
    </row>
    <row r="37" spans="1:8" x14ac:dyDescent="0.35">
      <c r="A37" s="12" t="s">
        <v>77</v>
      </c>
      <c r="B37" s="13" t="s">
        <v>78</v>
      </c>
      <c r="C37" s="23">
        <v>0</v>
      </c>
      <c r="D37" s="23">
        <v>0</v>
      </c>
      <c r="E37" s="23" t="s">
        <v>149</v>
      </c>
      <c r="F37" s="23" t="s">
        <v>149</v>
      </c>
      <c r="G37" s="23" t="s">
        <v>149</v>
      </c>
      <c r="H37" s="23" t="s">
        <v>149</v>
      </c>
    </row>
    <row r="38" spans="1:8" x14ac:dyDescent="0.35">
      <c r="A38" s="5" t="s">
        <v>79</v>
      </c>
      <c r="B38" s="6" t="s">
        <v>80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</row>
    <row r="39" spans="1:8" x14ac:dyDescent="0.35">
      <c r="A39" s="10" t="s">
        <v>81</v>
      </c>
      <c r="B39" s="6" t="s">
        <v>82</v>
      </c>
      <c r="C39" s="23">
        <v>344.2016703391609</v>
      </c>
      <c r="D39" s="23">
        <v>344.2016703391609</v>
      </c>
      <c r="E39" s="23">
        <v>915.59728978269391</v>
      </c>
      <c r="F39" s="23">
        <v>946.87887842906173</v>
      </c>
      <c r="G39" s="23">
        <v>1092.6215244912682</v>
      </c>
      <c r="H39" s="23">
        <v>952.5701298701299</v>
      </c>
    </row>
    <row r="40" spans="1:8" x14ac:dyDescent="0.35">
      <c r="A40" s="12" t="s">
        <v>83</v>
      </c>
      <c r="B40" s="13" t="s">
        <v>84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</row>
    <row r="41" spans="1:8" x14ac:dyDescent="0.35">
      <c r="A41" s="12" t="s">
        <v>85</v>
      </c>
      <c r="B41" s="13" t="s">
        <v>86</v>
      </c>
      <c r="C41" s="23">
        <v>0</v>
      </c>
      <c r="D41" s="23">
        <v>0</v>
      </c>
      <c r="E41" s="23" t="s">
        <v>149</v>
      </c>
      <c r="F41" s="23" t="s">
        <v>149</v>
      </c>
      <c r="G41" s="23" t="s">
        <v>149</v>
      </c>
      <c r="H41" s="23" t="s">
        <v>149</v>
      </c>
    </row>
    <row r="42" spans="1:8" x14ac:dyDescent="0.35">
      <c r="A42" s="12" t="s">
        <v>87</v>
      </c>
      <c r="B42" s="13" t="s">
        <v>88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</row>
    <row r="43" spans="1:8" x14ac:dyDescent="0.35">
      <c r="A43" s="3" t="s">
        <v>89</v>
      </c>
      <c r="B43" s="4"/>
      <c r="C43" s="4"/>
      <c r="D43" s="4"/>
      <c r="E43" s="4"/>
      <c r="F43" s="4"/>
      <c r="G43" s="4"/>
      <c r="H43" s="24"/>
    </row>
    <row r="44" spans="1:8" x14ac:dyDescent="0.35">
      <c r="A44" s="5" t="s">
        <v>90</v>
      </c>
      <c r="B44" s="6" t="s">
        <v>91</v>
      </c>
      <c r="C44" s="23">
        <v>1059.5693508894069</v>
      </c>
      <c r="D44" s="23">
        <v>1059.5693508894069</v>
      </c>
      <c r="E44" s="23">
        <v>3950.004750845465</v>
      </c>
      <c r="F44" s="23">
        <v>3530.696116249389</v>
      </c>
      <c r="G44" s="23">
        <v>4669.391695582437</v>
      </c>
      <c r="H44" s="23">
        <v>3497.2726212461812</v>
      </c>
    </row>
    <row r="45" spans="1:8" x14ac:dyDescent="0.35">
      <c r="A45" s="10" t="s">
        <v>92</v>
      </c>
      <c r="B45" s="6" t="s">
        <v>93</v>
      </c>
      <c r="C45" s="23">
        <v>760.32468021578882</v>
      </c>
      <c r="D45" s="23">
        <v>760.32468021578882</v>
      </c>
      <c r="E45" s="23">
        <v>1471.2244683297056</v>
      </c>
      <c r="F45" s="23">
        <v>1402.5270125288246</v>
      </c>
      <c r="G45" s="23">
        <v>2225.5549058264392</v>
      </c>
      <c r="H45" s="23">
        <v>1891.6314521951538</v>
      </c>
    </row>
    <row r="46" spans="1:8" x14ac:dyDescent="0.35">
      <c r="A46" s="10" t="s">
        <v>94</v>
      </c>
      <c r="B46" s="6" t="s">
        <v>95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</row>
    <row r="47" spans="1:8" x14ac:dyDescent="0.35">
      <c r="A47" s="10" t="s">
        <v>96</v>
      </c>
      <c r="B47" s="6" t="s">
        <v>97</v>
      </c>
      <c r="C47" s="23">
        <v>629.30349218407378</v>
      </c>
      <c r="D47" s="23">
        <v>629.30349218407378</v>
      </c>
      <c r="E47" s="23">
        <v>1569.0492873414541</v>
      </c>
      <c r="F47" s="23">
        <v>1322.6206585461978</v>
      </c>
      <c r="G47" s="23">
        <v>1561.3942602668242</v>
      </c>
      <c r="H47" s="23">
        <v>1470.3051948051968</v>
      </c>
    </row>
    <row r="48" spans="1:8" x14ac:dyDescent="0.35">
      <c r="A48" s="10" t="s">
        <v>98</v>
      </c>
      <c r="B48" s="6" t="s">
        <v>99</v>
      </c>
      <c r="C48" s="23">
        <v>291.11725782970944</v>
      </c>
      <c r="D48" s="23">
        <v>291.11725782970944</v>
      </c>
      <c r="E48" s="23">
        <v>632.23804369780009</v>
      </c>
      <c r="F48" s="23">
        <v>569.07840950148761</v>
      </c>
      <c r="G48" s="23">
        <v>463.79544513334662</v>
      </c>
      <c r="H48" s="23">
        <v>477.99350649350703</v>
      </c>
    </row>
    <row r="49" spans="1:8" x14ac:dyDescent="0.35">
      <c r="A49" s="10" t="s">
        <v>100</v>
      </c>
      <c r="B49" s="16" t="s">
        <v>101</v>
      </c>
      <c r="C49" s="23">
        <v>1815.1484120286839</v>
      </c>
      <c r="D49" s="23">
        <v>1815.1484120286839</v>
      </c>
      <c r="E49" s="23">
        <v>6411.7750008750736</v>
      </c>
      <c r="F49" s="23">
        <v>6899.2624588120852</v>
      </c>
      <c r="G49" s="23">
        <v>5665.7711088351034</v>
      </c>
      <c r="H49" s="23">
        <v>4656.2426250938524</v>
      </c>
    </row>
    <row r="50" spans="1:8" x14ac:dyDescent="0.35">
      <c r="A50" s="3" t="s">
        <v>102</v>
      </c>
      <c r="B50" s="4"/>
      <c r="C50" s="4"/>
      <c r="D50" s="4"/>
      <c r="E50" s="4"/>
      <c r="F50" s="4"/>
      <c r="G50" s="4"/>
      <c r="H50" s="24"/>
    </row>
    <row r="51" spans="1:8" x14ac:dyDescent="0.35">
      <c r="A51" s="10" t="s">
        <v>103</v>
      </c>
      <c r="B51" s="6" t="s">
        <v>104</v>
      </c>
      <c r="C51" s="23">
        <v>453.9020467623248</v>
      </c>
      <c r="D51" s="23">
        <v>453.9020467623248</v>
      </c>
      <c r="E51" s="23">
        <v>1656.8368841772915</v>
      </c>
      <c r="F51" s="23">
        <v>1767.1430722226007</v>
      </c>
      <c r="G51" s="23">
        <v>2456.7649612450596</v>
      </c>
      <c r="H51" s="23">
        <v>1526.6808956935265</v>
      </c>
    </row>
    <row r="52" spans="1:8" x14ac:dyDescent="0.35">
      <c r="A52" s="10" t="s">
        <v>105</v>
      </c>
      <c r="B52" s="6" t="s">
        <v>106</v>
      </c>
      <c r="C52" s="23">
        <v>371.29534780458664</v>
      </c>
      <c r="D52" s="23">
        <v>371.29534780458664</v>
      </c>
      <c r="E52" s="23">
        <v>1699.4223576232005</v>
      </c>
      <c r="F52" s="23">
        <v>1536.4376656654908</v>
      </c>
      <c r="G52" s="23">
        <v>1326.4351752621822</v>
      </c>
      <c r="H52" s="23">
        <v>1267.4385844372182</v>
      </c>
    </row>
    <row r="53" spans="1:8" x14ac:dyDescent="0.35">
      <c r="A53" s="10" t="s">
        <v>107</v>
      </c>
      <c r="B53" s="6" t="s">
        <v>108</v>
      </c>
      <c r="C53" s="23">
        <v>117.60761243544846</v>
      </c>
      <c r="D53" s="23">
        <v>117.60761243544846</v>
      </c>
      <c r="E53" s="23">
        <v>643.68653881196713</v>
      </c>
      <c r="F53" s="23">
        <v>641.9470680807168</v>
      </c>
      <c r="G53" s="23">
        <v>564.74186941234257</v>
      </c>
      <c r="H53" s="23">
        <v>331.9323859076909</v>
      </c>
    </row>
    <row r="54" spans="1:8" x14ac:dyDescent="0.35">
      <c r="A54" s="7" t="s">
        <v>109</v>
      </c>
      <c r="B54" s="15" t="s">
        <v>110</v>
      </c>
      <c r="C54" s="23">
        <v>625.59051340339659</v>
      </c>
      <c r="D54" s="23">
        <v>625.59051340339659</v>
      </c>
      <c r="E54" s="23">
        <v>287.99906989229987</v>
      </c>
      <c r="F54" s="23">
        <v>330.22932596081847</v>
      </c>
      <c r="G54" s="23">
        <v>692.5570938350495</v>
      </c>
      <c r="H54" s="23">
        <v>659.51375949856174</v>
      </c>
    </row>
    <row r="55" spans="1:8" x14ac:dyDescent="0.35">
      <c r="A55" s="7" t="s">
        <v>111</v>
      </c>
      <c r="B55" s="17" t="s">
        <v>112</v>
      </c>
      <c r="C55" s="23">
        <v>1185.4506297316093</v>
      </c>
      <c r="D55" s="23">
        <v>1185.4506297316093</v>
      </c>
      <c r="E55" s="23">
        <v>1343.3062561798586</v>
      </c>
      <c r="F55" s="23">
        <v>1137.6824592084708</v>
      </c>
      <c r="G55" s="23">
        <v>1406.5890882260944</v>
      </c>
      <c r="H55" s="23">
        <v>1571.5257100530214</v>
      </c>
    </row>
    <row r="56" spans="1:8" x14ac:dyDescent="0.35">
      <c r="A56" s="3" t="s">
        <v>113</v>
      </c>
      <c r="B56" s="14"/>
      <c r="C56" s="14"/>
      <c r="D56" s="14"/>
      <c r="E56" s="14"/>
      <c r="F56" s="14"/>
      <c r="G56" s="14"/>
      <c r="H56" s="18"/>
    </row>
    <row r="57" spans="1:8" x14ac:dyDescent="0.35">
      <c r="A57" s="10" t="s">
        <v>114</v>
      </c>
      <c r="B57" s="6" t="s">
        <v>115</v>
      </c>
      <c r="C57" s="23">
        <v>6846.1546701668858</v>
      </c>
      <c r="D57" s="23">
        <v>6846.1546701668858</v>
      </c>
      <c r="E57" s="23">
        <v>11429.464029325247</v>
      </c>
      <c r="F57" s="23">
        <v>11264.222048525389</v>
      </c>
      <c r="G57" s="23">
        <v>16218.113591253852</v>
      </c>
      <c r="H57" s="23">
        <v>16680.768267308271</v>
      </c>
    </row>
    <row r="58" spans="1:8" x14ac:dyDescent="0.35">
      <c r="A58" s="7" t="s">
        <v>116</v>
      </c>
      <c r="B58" s="8" t="s">
        <v>117</v>
      </c>
      <c r="C58" s="23" t="s">
        <v>149</v>
      </c>
      <c r="D58" s="23" t="s">
        <v>149</v>
      </c>
      <c r="E58" s="23" t="s">
        <v>149</v>
      </c>
      <c r="F58" s="23" t="s">
        <v>149</v>
      </c>
      <c r="G58" s="23" t="s">
        <v>149</v>
      </c>
      <c r="H58" s="23" t="s">
        <v>149</v>
      </c>
    </row>
    <row r="59" spans="1:8" x14ac:dyDescent="0.35">
      <c r="A59" s="3" t="s">
        <v>118</v>
      </c>
      <c r="B59" s="14"/>
      <c r="C59" s="14"/>
      <c r="D59" s="14"/>
      <c r="E59" s="14"/>
      <c r="F59" s="14"/>
      <c r="G59" s="14"/>
      <c r="H59" s="18"/>
    </row>
    <row r="60" spans="1:8" x14ac:dyDescent="0.35">
      <c r="A60" s="7" t="s">
        <v>119</v>
      </c>
      <c r="B60" s="8" t="s">
        <v>120</v>
      </c>
      <c r="C60" s="23">
        <v>18.281676076352884</v>
      </c>
      <c r="D60" s="23">
        <v>18.281676076352884</v>
      </c>
      <c r="E60" s="23">
        <v>0</v>
      </c>
      <c r="F60" s="23">
        <v>0</v>
      </c>
      <c r="G60" s="23">
        <v>0</v>
      </c>
      <c r="H60" s="23">
        <v>0</v>
      </c>
    </row>
    <row r="61" spans="1:8" x14ac:dyDescent="0.35">
      <c r="A61" s="7" t="s">
        <v>121</v>
      </c>
      <c r="B61" s="8" t="s">
        <v>122</v>
      </c>
      <c r="C61" s="23">
        <v>38.36831163902044</v>
      </c>
      <c r="D61" s="23">
        <v>38.36831163902044</v>
      </c>
      <c r="E61" s="23">
        <v>0</v>
      </c>
      <c r="F61" s="23">
        <v>0</v>
      </c>
      <c r="G61" s="23">
        <v>0</v>
      </c>
      <c r="H61" s="23">
        <v>0</v>
      </c>
    </row>
    <row r="62" spans="1:8" x14ac:dyDescent="0.35">
      <c r="A62" s="7" t="s">
        <v>123</v>
      </c>
      <c r="B62" s="8" t="s">
        <v>124</v>
      </c>
      <c r="C62" s="23">
        <v>5584.0097353350002</v>
      </c>
      <c r="D62" s="23">
        <v>5584.0097353350002</v>
      </c>
      <c r="E62" s="23">
        <v>1757.2481572481565</v>
      </c>
      <c r="F62" s="23">
        <v>3996.2576017464535</v>
      </c>
      <c r="G62" s="23">
        <v>7508.0415479979902</v>
      </c>
      <c r="H62" s="23">
        <v>4662.6161179121955</v>
      </c>
    </row>
    <row r="63" spans="1:8" x14ac:dyDescent="0.35">
      <c r="A63" s="3" t="s">
        <v>125</v>
      </c>
      <c r="B63" s="14"/>
      <c r="C63" s="14"/>
      <c r="D63" s="14"/>
      <c r="E63" s="14"/>
      <c r="F63" s="14"/>
      <c r="G63" s="14"/>
      <c r="H63" s="18"/>
    </row>
    <row r="64" spans="1:8" x14ac:dyDescent="0.35">
      <c r="A64" s="7" t="s">
        <v>126</v>
      </c>
      <c r="B64" s="15" t="s">
        <v>127</v>
      </c>
      <c r="C64" s="23">
        <v>385.26814113820438</v>
      </c>
      <c r="D64" s="23">
        <v>385.26814113820438</v>
      </c>
      <c r="E64" s="23">
        <v>0</v>
      </c>
      <c r="F64" s="23">
        <v>0</v>
      </c>
      <c r="G64" s="23">
        <v>0</v>
      </c>
      <c r="H64" s="23">
        <v>0</v>
      </c>
    </row>
    <row r="65" spans="1:8" x14ac:dyDescent="0.35">
      <c r="A65" s="3" t="s">
        <v>128</v>
      </c>
      <c r="B65" s="18"/>
      <c r="C65" s="18"/>
      <c r="D65" s="18"/>
      <c r="E65" s="18"/>
      <c r="F65" s="18"/>
      <c r="G65" s="18"/>
      <c r="H65" s="18"/>
    </row>
    <row r="66" spans="1:8" x14ac:dyDescent="0.35">
      <c r="A66" s="7" t="s">
        <v>129</v>
      </c>
      <c r="B66" s="8" t="s">
        <v>130</v>
      </c>
      <c r="C66" s="23">
        <v>0</v>
      </c>
      <c r="D66" s="23">
        <v>163.43724111912007</v>
      </c>
      <c r="E66" s="23">
        <v>256.84406228212873</v>
      </c>
      <c r="F66" s="23">
        <v>264.72954850245867</v>
      </c>
      <c r="G66" s="23">
        <v>0</v>
      </c>
      <c r="H66" s="23">
        <v>0</v>
      </c>
    </row>
    <row r="67" spans="1:8" x14ac:dyDescent="0.35">
      <c r="A67" s="3" t="s">
        <v>131</v>
      </c>
      <c r="B67" s="18"/>
      <c r="C67" s="18"/>
      <c r="D67" s="18"/>
      <c r="E67" s="18"/>
      <c r="F67" s="18"/>
      <c r="G67" s="18"/>
      <c r="H67" s="18"/>
    </row>
    <row r="68" spans="1:8" x14ac:dyDescent="0.35">
      <c r="A68" s="7" t="s">
        <v>132</v>
      </c>
      <c r="B68" s="8" t="s">
        <v>133</v>
      </c>
      <c r="C68" s="23" t="s">
        <v>149</v>
      </c>
      <c r="D68" s="23" t="s">
        <v>149</v>
      </c>
      <c r="E68" s="23" t="s">
        <v>149</v>
      </c>
      <c r="F68" s="23">
        <v>1080</v>
      </c>
      <c r="G68" s="23">
        <v>900</v>
      </c>
      <c r="H68" s="23">
        <v>0</v>
      </c>
    </row>
    <row r="69" spans="1:8" x14ac:dyDescent="0.35">
      <c r="A69" s="7" t="s">
        <v>134</v>
      </c>
      <c r="B69" s="8" t="s">
        <v>135</v>
      </c>
      <c r="C69" s="23" t="s">
        <v>149</v>
      </c>
      <c r="D69" s="23" t="s">
        <v>149</v>
      </c>
      <c r="E69" s="23" t="s">
        <v>149</v>
      </c>
      <c r="F69" s="23">
        <v>630</v>
      </c>
      <c r="G69" s="23">
        <v>900</v>
      </c>
      <c r="H69" s="23">
        <v>0</v>
      </c>
    </row>
    <row r="70" spans="1:8" x14ac:dyDescent="0.35">
      <c r="A70" s="7" t="s">
        <v>136</v>
      </c>
      <c r="B70" s="8" t="s">
        <v>137</v>
      </c>
      <c r="C70" s="23" t="s">
        <v>149</v>
      </c>
      <c r="D70" s="23" t="s">
        <v>149</v>
      </c>
      <c r="E70" s="23" t="s">
        <v>149</v>
      </c>
      <c r="F70" s="23">
        <v>0</v>
      </c>
      <c r="G70" s="23">
        <v>0</v>
      </c>
      <c r="H70" s="23">
        <v>0</v>
      </c>
    </row>
    <row r="71" spans="1:8" x14ac:dyDescent="0.35">
      <c r="A71" s="7" t="s">
        <v>138</v>
      </c>
      <c r="B71" s="8" t="s">
        <v>139</v>
      </c>
      <c r="C71" s="23" t="s">
        <v>149</v>
      </c>
      <c r="D71" s="23" t="s">
        <v>149</v>
      </c>
      <c r="E71" s="23" t="s">
        <v>149</v>
      </c>
      <c r="F71" s="23">
        <v>0</v>
      </c>
      <c r="G71" s="23">
        <v>0</v>
      </c>
      <c r="H71" s="23">
        <v>0</v>
      </c>
    </row>
    <row r="72" spans="1:8" x14ac:dyDescent="0.35">
      <c r="A72" s="7" t="s">
        <v>140</v>
      </c>
      <c r="B72" s="8" t="s">
        <v>141</v>
      </c>
      <c r="C72" s="23" t="s">
        <v>149</v>
      </c>
      <c r="D72" s="23" t="s">
        <v>149</v>
      </c>
      <c r="E72" s="23" t="s">
        <v>149</v>
      </c>
      <c r="F72" s="23">
        <v>360</v>
      </c>
      <c r="G72" s="23">
        <v>450</v>
      </c>
      <c r="H72" s="23">
        <v>0</v>
      </c>
    </row>
    <row r="73" spans="1:8" x14ac:dyDescent="0.35">
      <c r="A73" s="7" t="s">
        <v>142</v>
      </c>
      <c r="B73" s="8" t="s">
        <v>143</v>
      </c>
      <c r="C73" s="23" t="s">
        <v>149</v>
      </c>
      <c r="D73" s="23" t="s">
        <v>149</v>
      </c>
      <c r="E73" s="23" t="s">
        <v>149</v>
      </c>
      <c r="F73" s="23">
        <v>0</v>
      </c>
      <c r="G73" s="23">
        <v>0</v>
      </c>
      <c r="H73" s="23">
        <v>0</v>
      </c>
    </row>
    <row r="74" spans="1:8" x14ac:dyDescent="0.35">
      <c r="A74" s="7" t="s">
        <v>144</v>
      </c>
      <c r="B74" s="8" t="s">
        <v>145</v>
      </c>
      <c r="C74" s="23" t="s">
        <v>149</v>
      </c>
      <c r="D74" s="23" t="s">
        <v>149</v>
      </c>
      <c r="E74" s="23" t="s">
        <v>149</v>
      </c>
      <c r="F74" s="23" t="s">
        <v>149</v>
      </c>
      <c r="G74" s="23">
        <v>180</v>
      </c>
      <c r="H74" s="23">
        <v>0</v>
      </c>
    </row>
  </sheetData>
  <conditionalFormatting sqref="B64">
    <cfRule type="duplicateValues" dxfId="24" priority="1"/>
  </conditionalFormatting>
  <hyperlinks>
    <hyperlink ref="B74" r:id="rId1" display="https://sellercentral.amazon.in/skucentral?mSku=SANYF01&amp;condition=New&amp;ref_=myp_skuc" xr:uid="{318034E3-9DF3-4EC9-8430-641127059F5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DF41-EF17-4E5C-A4ED-E9E1DF44CED9}">
  <dimension ref="A1:H74"/>
  <sheetViews>
    <sheetView workbookViewId="0"/>
  </sheetViews>
  <sheetFormatPr defaultRowHeight="14.5" x14ac:dyDescent="0.35"/>
  <cols>
    <col min="1" max="1" width="56.453125" customWidth="1"/>
    <col min="2" max="2" width="11.90625" bestFit="1" customWidth="1"/>
    <col min="3" max="8" width="13.453125" bestFit="1" customWidth="1"/>
  </cols>
  <sheetData>
    <row r="1" spans="1:8" x14ac:dyDescent="0.35">
      <c r="B1" s="19" t="s">
        <v>146</v>
      </c>
      <c r="C1" s="27">
        <v>46113</v>
      </c>
      <c r="D1" s="27">
        <v>46143</v>
      </c>
      <c r="E1" s="27">
        <v>46174</v>
      </c>
      <c r="F1" s="27">
        <v>46204</v>
      </c>
      <c r="G1" s="27">
        <v>46235</v>
      </c>
      <c r="H1" s="27">
        <v>46266</v>
      </c>
    </row>
    <row r="2" spans="1:8" x14ac:dyDescent="0.35">
      <c r="A2" s="1" t="s">
        <v>11</v>
      </c>
      <c r="B2" s="2"/>
      <c r="C2" s="21" t="s">
        <v>148</v>
      </c>
      <c r="D2" s="21" t="s">
        <v>148</v>
      </c>
      <c r="E2" s="21" t="s">
        <v>148</v>
      </c>
      <c r="F2" s="21" t="s">
        <v>148</v>
      </c>
      <c r="G2" s="21" t="s">
        <v>148</v>
      </c>
      <c r="H2" s="21" t="s">
        <v>148</v>
      </c>
    </row>
    <row r="3" spans="1:8" x14ac:dyDescent="0.35">
      <c r="A3" s="3" t="s">
        <v>12</v>
      </c>
      <c r="B3" s="4"/>
      <c r="C3" s="4"/>
      <c r="D3" s="4"/>
      <c r="E3" s="4"/>
      <c r="F3" s="4"/>
      <c r="G3" s="4"/>
      <c r="H3" s="22"/>
    </row>
    <row r="4" spans="1:8" x14ac:dyDescent="0.35">
      <c r="A4" s="5" t="s">
        <v>13</v>
      </c>
      <c r="B4" s="6" t="s">
        <v>14</v>
      </c>
      <c r="C4" s="23">
        <v>6031.741724874606</v>
      </c>
      <c r="D4" s="23">
        <v>6031.741724874606</v>
      </c>
      <c r="E4" s="23">
        <v>5996.5885803163146</v>
      </c>
      <c r="F4" s="23">
        <v>5840.4621798778071</v>
      </c>
      <c r="G4" s="23">
        <v>8834.6875369582704</v>
      </c>
      <c r="H4" s="23">
        <v>8025.5247541097733</v>
      </c>
    </row>
    <row r="5" spans="1:8" x14ac:dyDescent="0.35">
      <c r="A5" s="7" t="s">
        <v>15</v>
      </c>
      <c r="B5" s="8" t="s">
        <v>16</v>
      </c>
      <c r="C5" s="23">
        <v>6459.355085966411</v>
      </c>
      <c r="D5" s="23">
        <v>6459.355085966411</v>
      </c>
      <c r="E5" s="23">
        <v>15829.546628032889</v>
      </c>
      <c r="F5" s="23">
        <v>11918.153734554573</v>
      </c>
      <c r="G5" s="23">
        <v>17046.193133247161</v>
      </c>
      <c r="H5" s="23">
        <v>16724.818387925163</v>
      </c>
    </row>
    <row r="6" spans="1:8" x14ac:dyDescent="0.35">
      <c r="A6" s="7" t="s">
        <v>17</v>
      </c>
      <c r="B6" s="8" t="s">
        <v>18</v>
      </c>
      <c r="C6" s="23" t="s">
        <v>149</v>
      </c>
      <c r="D6" s="23" t="s">
        <v>149</v>
      </c>
      <c r="E6" s="23" t="s">
        <v>149</v>
      </c>
      <c r="F6" s="23" t="s">
        <v>149</v>
      </c>
      <c r="G6" s="23" t="s">
        <v>149</v>
      </c>
      <c r="H6" s="23" t="s">
        <v>149</v>
      </c>
    </row>
    <row r="7" spans="1:8" x14ac:dyDescent="0.35">
      <c r="A7" s="5" t="s">
        <v>19</v>
      </c>
      <c r="B7" s="9" t="s">
        <v>20</v>
      </c>
      <c r="C7" s="23">
        <v>3709.3366382493346</v>
      </c>
      <c r="D7" s="23">
        <v>3709.3366382493346</v>
      </c>
      <c r="E7" s="23">
        <v>3991.7124739407627</v>
      </c>
      <c r="F7" s="23">
        <v>3699.069590810841</v>
      </c>
      <c r="G7" s="23">
        <v>4964.1815187770044</v>
      </c>
      <c r="H7" s="23">
        <v>5015.2843704347251</v>
      </c>
    </row>
    <row r="8" spans="1:8" x14ac:dyDescent="0.35">
      <c r="A8" s="7" t="s">
        <v>21</v>
      </c>
      <c r="B8" s="8" t="s">
        <v>22</v>
      </c>
      <c r="C8" s="23">
        <v>5299.1729751401945</v>
      </c>
      <c r="D8" s="23">
        <v>5299.1729751401945</v>
      </c>
      <c r="E8" s="23">
        <v>5918.2914037578257</v>
      </c>
      <c r="F8" s="23">
        <v>5804.5652894701725</v>
      </c>
      <c r="G8" s="23">
        <v>6875.5763746307321</v>
      </c>
      <c r="H8" s="23">
        <v>6742.0809945033352</v>
      </c>
    </row>
    <row r="9" spans="1:8" x14ac:dyDescent="0.35">
      <c r="A9" s="5" t="s">
        <v>23</v>
      </c>
      <c r="B9" s="6" t="s">
        <v>24</v>
      </c>
      <c r="C9" s="23">
        <v>568.98014611289159</v>
      </c>
      <c r="D9" s="23">
        <v>568.98014611289159</v>
      </c>
      <c r="E9" s="23">
        <v>1012.139179095196</v>
      </c>
      <c r="F9" s="23">
        <v>1047.6669110179664</v>
      </c>
      <c r="G9" s="23">
        <v>1889.3385208810039</v>
      </c>
      <c r="H9" s="23">
        <v>1467.9480343737321</v>
      </c>
    </row>
    <row r="10" spans="1:8" x14ac:dyDescent="0.35">
      <c r="A10" s="7" t="s">
        <v>25</v>
      </c>
      <c r="B10" s="8" t="s">
        <v>26</v>
      </c>
      <c r="C10" s="23">
        <v>68.40481332921938</v>
      </c>
      <c r="D10" s="23">
        <v>68.40481332921938</v>
      </c>
      <c r="E10" s="23">
        <v>697.75050212284327</v>
      </c>
      <c r="F10" s="23">
        <v>329.852381733632</v>
      </c>
      <c r="G10" s="23">
        <v>330.311386878088</v>
      </c>
      <c r="H10" s="23">
        <v>595.56970420480172</v>
      </c>
    </row>
    <row r="11" spans="1:8" x14ac:dyDescent="0.35">
      <c r="A11" s="10" t="s">
        <v>27</v>
      </c>
      <c r="B11" s="6" t="s">
        <v>28</v>
      </c>
      <c r="C11" s="23">
        <v>3300.0137409003642</v>
      </c>
      <c r="D11" s="23">
        <v>3300.0137409003642</v>
      </c>
      <c r="E11" s="23">
        <v>6862.8990483500338</v>
      </c>
      <c r="F11" s="23">
        <v>7269.2098114975597</v>
      </c>
      <c r="G11" s="23">
        <v>10495.747025099352</v>
      </c>
      <c r="H11" s="23">
        <v>10267.083308310046</v>
      </c>
    </row>
    <row r="12" spans="1:8" x14ac:dyDescent="0.35">
      <c r="A12" s="10" t="s">
        <v>29</v>
      </c>
      <c r="B12" s="6" t="s">
        <v>30</v>
      </c>
      <c r="C12" s="23" t="s">
        <v>149</v>
      </c>
      <c r="D12" s="23" t="s">
        <v>149</v>
      </c>
      <c r="E12" s="23">
        <v>513.15789473684197</v>
      </c>
      <c r="F12" s="23">
        <v>558.37004405286325</v>
      </c>
      <c r="G12" s="23">
        <v>1251.9837333862365</v>
      </c>
      <c r="H12" s="23">
        <v>1202.4586537287926</v>
      </c>
    </row>
    <row r="13" spans="1:8" x14ac:dyDescent="0.35">
      <c r="A13" s="10" t="s">
        <v>31</v>
      </c>
      <c r="B13" s="6" t="s">
        <v>32</v>
      </c>
      <c r="C13" s="23" t="s">
        <v>149</v>
      </c>
      <c r="D13" s="23" t="s">
        <v>149</v>
      </c>
      <c r="E13" s="23">
        <v>466.66666666666657</v>
      </c>
      <c r="F13" s="23">
        <v>547.0437017994858</v>
      </c>
      <c r="G13" s="23">
        <v>1063.8022518441844</v>
      </c>
      <c r="H13" s="23">
        <v>1236.5325479334886</v>
      </c>
    </row>
    <row r="14" spans="1:8" x14ac:dyDescent="0.35">
      <c r="A14" s="10" t="s">
        <v>33</v>
      </c>
      <c r="B14" s="8" t="s">
        <v>34</v>
      </c>
      <c r="C14" s="23">
        <v>715.07297146642964</v>
      </c>
      <c r="D14" s="23">
        <v>715.07297146642964</v>
      </c>
      <c r="E14" s="23">
        <v>2547.349329778503</v>
      </c>
      <c r="F14" s="23">
        <v>2733.0084451642756</v>
      </c>
      <c r="G14" s="23">
        <v>3891.2801694730538</v>
      </c>
      <c r="H14" s="23">
        <v>1687.7956817937172</v>
      </c>
    </row>
    <row r="15" spans="1:8" x14ac:dyDescent="0.35">
      <c r="A15" s="10" t="s">
        <v>35</v>
      </c>
      <c r="B15" s="8" t="s">
        <v>36</v>
      </c>
      <c r="C15" s="23">
        <v>725.86305557725063</v>
      </c>
      <c r="D15" s="23">
        <v>725.86305557725063</v>
      </c>
      <c r="E15" s="23">
        <v>1942.6004626039953</v>
      </c>
      <c r="F15" s="23">
        <v>2860.8330082780735</v>
      </c>
      <c r="G15" s="23">
        <v>2642.8487860587461</v>
      </c>
      <c r="H15" s="23">
        <v>1237.2677506697237</v>
      </c>
    </row>
    <row r="16" spans="1:8" x14ac:dyDescent="0.35">
      <c r="A16" s="10" t="s">
        <v>37</v>
      </c>
      <c r="B16" s="6" t="s">
        <v>38</v>
      </c>
      <c r="C16" s="23">
        <v>2014.0101319675646</v>
      </c>
      <c r="D16" s="23">
        <v>2014.0101319675646</v>
      </c>
      <c r="E16" s="23">
        <v>2672.8170192378911</v>
      </c>
      <c r="F16" s="23">
        <v>2299.3958830737001</v>
      </c>
      <c r="G16" s="23">
        <v>5071.3424677586536</v>
      </c>
      <c r="H16" s="23">
        <v>6045.9735012688125</v>
      </c>
    </row>
    <row r="17" spans="1:8" x14ac:dyDescent="0.35">
      <c r="A17" s="5" t="s">
        <v>39</v>
      </c>
      <c r="B17" s="6" t="s">
        <v>40</v>
      </c>
      <c r="C17" s="23">
        <v>139.33373118274611</v>
      </c>
      <c r="D17" s="23">
        <v>139.33373118274611</v>
      </c>
      <c r="E17" s="23">
        <v>257.04735559507344</v>
      </c>
      <c r="F17" s="23">
        <v>249.64438122332854</v>
      </c>
      <c r="G17" s="23">
        <v>849.0388536312214</v>
      </c>
      <c r="H17" s="23">
        <v>368.97743190661475</v>
      </c>
    </row>
    <row r="18" spans="1:8" x14ac:dyDescent="0.35">
      <c r="A18" s="7" t="s">
        <v>41</v>
      </c>
      <c r="B18" s="8" t="s">
        <v>42</v>
      </c>
      <c r="C18" s="23">
        <v>759.27665914423824</v>
      </c>
      <c r="D18" s="23">
        <v>759.27665914423824</v>
      </c>
      <c r="E18" s="23">
        <v>1182.4489643119184</v>
      </c>
      <c r="F18" s="23">
        <v>1153.8014695591808</v>
      </c>
      <c r="G18" s="23">
        <v>2234.8167321121286</v>
      </c>
      <c r="H18" s="23">
        <v>1956.4688337222053</v>
      </c>
    </row>
    <row r="19" spans="1:8" x14ac:dyDescent="0.35">
      <c r="A19" s="3" t="s">
        <v>43</v>
      </c>
      <c r="B19" s="4"/>
      <c r="C19" s="4"/>
      <c r="D19" s="4"/>
      <c r="E19" s="4"/>
      <c r="F19" s="4"/>
      <c r="G19" s="4"/>
      <c r="H19" s="24"/>
    </row>
    <row r="20" spans="1:8" x14ac:dyDescent="0.35">
      <c r="A20" s="5" t="s">
        <v>44</v>
      </c>
      <c r="B20" s="6" t="s">
        <v>45</v>
      </c>
      <c r="C20" s="23">
        <v>9714.7083959410375</v>
      </c>
      <c r="D20" s="23">
        <v>9714.7083959410375</v>
      </c>
      <c r="E20" s="23">
        <v>9632.5523225258876</v>
      </c>
      <c r="F20" s="23">
        <v>9748.8400383239696</v>
      </c>
      <c r="G20" s="23">
        <v>10635.399077775583</v>
      </c>
      <c r="H20" s="23">
        <v>7666.7185383704618</v>
      </c>
    </row>
    <row r="21" spans="1:8" x14ac:dyDescent="0.35">
      <c r="A21" s="5" t="s">
        <v>46</v>
      </c>
      <c r="B21" s="6" t="s">
        <v>47</v>
      </c>
      <c r="C21" s="23">
        <v>100</v>
      </c>
      <c r="D21" s="23">
        <v>100</v>
      </c>
      <c r="E21" s="23">
        <v>150</v>
      </c>
      <c r="F21" s="23">
        <v>146.44351464435164</v>
      </c>
      <c r="G21" s="23">
        <v>380.00000000000006</v>
      </c>
      <c r="H21" s="23">
        <v>273.8419618528614</v>
      </c>
    </row>
    <row r="22" spans="1:8" x14ac:dyDescent="0.35">
      <c r="A22" s="10" t="s">
        <v>48</v>
      </c>
      <c r="B22" s="6" t="s">
        <v>49</v>
      </c>
      <c r="C22" s="23">
        <v>3904.4364851655387</v>
      </c>
      <c r="D22" s="23">
        <v>3904.4364851655387</v>
      </c>
      <c r="E22" s="23">
        <v>5134.0205314498544</v>
      </c>
      <c r="F22" s="23">
        <v>6110.291078963025</v>
      </c>
      <c r="G22" s="23">
        <v>7365.1052935016241</v>
      </c>
      <c r="H22" s="23">
        <v>3399.6453801137091</v>
      </c>
    </row>
    <row r="23" spans="1:8" x14ac:dyDescent="0.35">
      <c r="A23" s="5" t="s">
        <v>50</v>
      </c>
      <c r="B23" s="6" t="s">
        <v>51</v>
      </c>
      <c r="C23" s="23">
        <v>11803.984422442883</v>
      </c>
      <c r="D23" s="23">
        <v>11803.984422442883</v>
      </c>
      <c r="E23" s="23">
        <v>16741.290703436265</v>
      </c>
      <c r="F23" s="23">
        <v>16715.605985553178</v>
      </c>
      <c r="G23" s="23">
        <v>26080.770045514593</v>
      </c>
      <c r="H23" s="23">
        <v>32381.429815059531</v>
      </c>
    </row>
    <row r="24" spans="1:8" x14ac:dyDescent="0.35">
      <c r="A24" s="5" t="s">
        <v>52</v>
      </c>
      <c r="B24" s="6" t="s">
        <v>53</v>
      </c>
      <c r="C24" s="23">
        <v>1094.6051002618312</v>
      </c>
      <c r="D24" s="23">
        <v>1094.6051002618312</v>
      </c>
      <c r="E24" s="23">
        <v>1583.5577580878421</v>
      </c>
      <c r="F24" s="23">
        <v>1500.7256213854448</v>
      </c>
      <c r="G24" s="23">
        <v>2075.6800024349809</v>
      </c>
      <c r="H24" s="23">
        <v>1812.3069095349542</v>
      </c>
    </row>
    <row r="25" spans="1:8" x14ac:dyDescent="0.35">
      <c r="A25" s="10" t="s">
        <v>54</v>
      </c>
      <c r="B25" s="6" t="s">
        <v>55</v>
      </c>
      <c r="C25" s="23">
        <v>2975.1773386647915</v>
      </c>
      <c r="D25" s="23">
        <v>2975.1773386647915</v>
      </c>
      <c r="E25" s="23">
        <v>2796.0894391634679</v>
      </c>
      <c r="F25" s="23">
        <v>2905.6347978387716</v>
      </c>
      <c r="G25" s="23">
        <v>2226.9165062718976</v>
      </c>
      <c r="H25" s="23">
        <v>2462.799334897742</v>
      </c>
    </row>
    <row r="26" spans="1:8" x14ac:dyDescent="0.35">
      <c r="A26" s="10" t="s">
        <v>56</v>
      </c>
      <c r="B26" s="11" t="s">
        <v>57</v>
      </c>
      <c r="C26" s="23">
        <v>1092.6278426533092</v>
      </c>
      <c r="D26" s="23">
        <v>1092.6278426533092</v>
      </c>
      <c r="E26" s="23">
        <v>1479.4415478543019</v>
      </c>
      <c r="F26" s="23">
        <v>1458.4522540921516</v>
      </c>
      <c r="G26" s="23">
        <v>1409.4269653398326</v>
      </c>
      <c r="H26" s="23">
        <v>1485.7488070393638</v>
      </c>
    </row>
    <row r="27" spans="1:8" x14ac:dyDescent="0.35">
      <c r="A27" s="10" t="s">
        <v>58</v>
      </c>
      <c r="B27" s="11" t="s">
        <v>59</v>
      </c>
      <c r="C27" s="23">
        <v>1718.8352828044322</v>
      </c>
      <c r="D27" s="23">
        <v>1718.8352828044322</v>
      </c>
      <c r="E27" s="23">
        <v>2377.4530151050171</v>
      </c>
      <c r="F27" s="23">
        <v>2301.7670107776698</v>
      </c>
      <c r="G27" s="23">
        <v>3164.8528563996588</v>
      </c>
      <c r="H27" s="23">
        <v>3023.8567844363079</v>
      </c>
    </row>
    <row r="28" spans="1:8" x14ac:dyDescent="0.35">
      <c r="A28" s="10" t="s">
        <v>60</v>
      </c>
      <c r="B28" s="11" t="s">
        <v>61</v>
      </c>
      <c r="C28" s="23">
        <v>4316.723461366023</v>
      </c>
      <c r="D28" s="23">
        <v>4316.723461366023</v>
      </c>
      <c r="E28" s="23">
        <v>9929.7945388189182</v>
      </c>
      <c r="F28" s="23">
        <v>8182.9969353365705</v>
      </c>
      <c r="G28" s="23">
        <v>13388.021424056938</v>
      </c>
      <c r="H28" s="23">
        <v>9118.1085653812752</v>
      </c>
    </row>
    <row r="29" spans="1:8" x14ac:dyDescent="0.35">
      <c r="A29" s="10" t="s">
        <v>62</v>
      </c>
      <c r="B29" s="6" t="s">
        <v>63</v>
      </c>
      <c r="C29" s="23">
        <v>1081.0945044453827</v>
      </c>
      <c r="D29" s="23">
        <v>1081.0945044453827</v>
      </c>
      <c r="E29" s="23">
        <v>1028.4045694563661</v>
      </c>
      <c r="F29" s="23">
        <v>1053.4859621010382</v>
      </c>
      <c r="G29" s="23">
        <v>1192.3403935897741</v>
      </c>
      <c r="H29" s="23">
        <v>1099.057496551824</v>
      </c>
    </row>
    <row r="30" spans="1:8" x14ac:dyDescent="0.35">
      <c r="A30" s="12" t="s">
        <v>64</v>
      </c>
      <c r="B30" s="13" t="s">
        <v>65</v>
      </c>
      <c r="C30" s="23">
        <v>21.947180336442081</v>
      </c>
      <c r="D30" s="23">
        <v>21.947180336442081</v>
      </c>
      <c r="E30" s="23">
        <v>0</v>
      </c>
      <c r="F30" s="23">
        <v>0</v>
      </c>
      <c r="G30" s="23">
        <v>0</v>
      </c>
      <c r="H30" s="23">
        <v>0</v>
      </c>
    </row>
    <row r="31" spans="1:8" x14ac:dyDescent="0.35">
      <c r="A31" s="3" t="s">
        <v>66</v>
      </c>
      <c r="B31" s="14"/>
      <c r="C31" s="14"/>
      <c r="D31" s="14"/>
      <c r="E31" s="14"/>
      <c r="F31" s="14"/>
      <c r="G31" s="14"/>
      <c r="H31" s="18"/>
    </row>
    <row r="32" spans="1:8" x14ac:dyDescent="0.35">
      <c r="A32" s="10" t="s">
        <v>67</v>
      </c>
      <c r="B32" s="6" t="s">
        <v>68</v>
      </c>
      <c r="C32" s="23">
        <v>7107.9696376678048</v>
      </c>
      <c r="D32" s="23">
        <v>7107.9696376678048</v>
      </c>
      <c r="E32" s="23">
        <v>12613.514563042469</v>
      </c>
      <c r="F32" s="23">
        <v>10304.941634094028</v>
      </c>
      <c r="G32" s="23">
        <v>14673.880047798881</v>
      </c>
      <c r="H32" s="23">
        <v>14747.071304572197</v>
      </c>
    </row>
    <row r="33" spans="1:8" x14ac:dyDescent="0.35">
      <c r="A33" s="5" t="s">
        <v>69</v>
      </c>
      <c r="B33" s="6" t="s">
        <v>70</v>
      </c>
      <c r="C33" s="23">
        <v>2969.7695085231539</v>
      </c>
      <c r="D33" s="23">
        <v>2969.7695085231539</v>
      </c>
      <c r="E33" s="23">
        <v>2684.8634104403709</v>
      </c>
      <c r="F33" s="23">
        <v>3314.5547523435621</v>
      </c>
      <c r="G33" s="23">
        <v>4071.2030207559046</v>
      </c>
      <c r="H33" s="23">
        <v>4406.0767214268944</v>
      </c>
    </row>
    <row r="34" spans="1:8" x14ac:dyDescent="0.35">
      <c r="A34" s="5" t="s">
        <v>71</v>
      </c>
      <c r="B34" s="15" t="s">
        <v>72</v>
      </c>
      <c r="C34" s="23">
        <v>1300.6785979913789</v>
      </c>
      <c r="D34" s="23">
        <v>1300.6785979913789</v>
      </c>
      <c r="E34" s="23">
        <v>2080.8537401765634</v>
      </c>
      <c r="F34" s="23">
        <v>2216.7478271492664</v>
      </c>
      <c r="G34" s="23">
        <v>3217.4459235786003</v>
      </c>
      <c r="H34" s="23">
        <v>3353.8245914423246</v>
      </c>
    </row>
    <row r="35" spans="1:8" x14ac:dyDescent="0.35">
      <c r="A35" s="10" t="s">
        <v>73</v>
      </c>
      <c r="B35" s="6" t="s">
        <v>74</v>
      </c>
      <c r="C35" s="23">
        <v>467.47507504650736</v>
      </c>
      <c r="D35" s="23">
        <v>467.47507504650736</v>
      </c>
      <c r="E35" s="23">
        <v>434.91870826087137</v>
      </c>
      <c r="F35" s="23">
        <v>455.62587163973865</v>
      </c>
      <c r="G35" s="23">
        <v>574.15980655930559</v>
      </c>
      <c r="H35" s="23">
        <v>415.34870129870126</v>
      </c>
    </row>
    <row r="36" spans="1:8" x14ac:dyDescent="0.35">
      <c r="A36" s="10" t="s">
        <v>75</v>
      </c>
      <c r="B36" s="6" t="s">
        <v>76</v>
      </c>
      <c r="C36" s="23">
        <v>622.12909180944769</v>
      </c>
      <c r="D36" s="23">
        <v>622.12909180944769</v>
      </c>
      <c r="E36" s="23">
        <v>609.69368337930916</v>
      </c>
      <c r="F36" s="23">
        <v>515.54586726014645</v>
      </c>
      <c r="G36" s="23">
        <v>776.47458130053303</v>
      </c>
      <c r="H36" s="23">
        <v>630.61493506493525</v>
      </c>
    </row>
    <row r="37" spans="1:8" x14ac:dyDescent="0.35">
      <c r="A37" s="12" t="s">
        <v>77</v>
      </c>
      <c r="B37" s="13" t="s">
        <v>78</v>
      </c>
      <c r="C37" s="23">
        <v>0</v>
      </c>
      <c r="D37" s="23">
        <v>0</v>
      </c>
      <c r="E37" s="23" t="s">
        <v>149</v>
      </c>
      <c r="F37" s="23" t="s">
        <v>149</v>
      </c>
      <c r="G37" s="23" t="s">
        <v>149</v>
      </c>
      <c r="H37" s="23" t="s">
        <v>149</v>
      </c>
    </row>
    <row r="38" spans="1:8" x14ac:dyDescent="0.35">
      <c r="A38" s="5" t="s">
        <v>79</v>
      </c>
      <c r="B38" s="6" t="s">
        <v>80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</row>
    <row r="39" spans="1:8" x14ac:dyDescent="0.35">
      <c r="A39" s="10" t="s">
        <v>81</v>
      </c>
      <c r="B39" s="6" t="s">
        <v>82</v>
      </c>
      <c r="C39" s="23">
        <v>503.22462952796769</v>
      </c>
      <c r="D39" s="23">
        <v>503.22462952796769</v>
      </c>
      <c r="E39" s="23">
        <v>645.10311723731763</v>
      </c>
      <c r="F39" s="23">
        <v>580.42267121694363</v>
      </c>
      <c r="G39" s="23">
        <v>704.69258208591918</v>
      </c>
      <c r="H39" s="23">
        <v>578.15259740259739</v>
      </c>
    </row>
    <row r="40" spans="1:8" x14ac:dyDescent="0.35">
      <c r="A40" s="12" t="s">
        <v>83</v>
      </c>
      <c r="B40" s="13" t="s">
        <v>84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</row>
    <row r="41" spans="1:8" x14ac:dyDescent="0.35">
      <c r="A41" s="12" t="s">
        <v>85</v>
      </c>
      <c r="B41" s="13" t="s">
        <v>86</v>
      </c>
      <c r="C41" s="23">
        <v>0</v>
      </c>
      <c r="D41" s="23">
        <v>0</v>
      </c>
      <c r="E41" s="23" t="s">
        <v>149</v>
      </c>
      <c r="F41" s="23" t="s">
        <v>149</v>
      </c>
      <c r="G41" s="23" t="s">
        <v>149</v>
      </c>
      <c r="H41" s="23" t="s">
        <v>149</v>
      </c>
    </row>
    <row r="42" spans="1:8" x14ac:dyDescent="0.35">
      <c r="A42" s="12" t="s">
        <v>87</v>
      </c>
      <c r="B42" s="13" t="s">
        <v>88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</row>
    <row r="43" spans="1:8" x14ac:dyDescent="0.35">
      <c r="A43" s="3" t="s">
        <v>89</v>
      </c>
      <c r="B43" s="4"/>
      <c r="C43" s="4"/>
      <c r="D43" s="4"/>
      <c r="E43" s="4"/>
      <c r="F43" s="4"/>
      <c r="G43" s="4"/>
      <c r="H43" s="24"/>
    </row>
    <row r="44" spans="1:8" x14ac:dyDescent="0.35">
      <c r="A44" s="5" t="s">
        <v>90</v>
      </c>
      <c r="B44" s="6" t="s">
        <v>91</v>
      </c>
      <c r="C44" s="23">
        <v>797.87319966617315</v>
      </c>
      <c r="D44" s="23">
        <v>797.87319966617315</v>
      </c>
      <c r="E44" s="23">
        <v>1424.2582429152044</v>
      </c>
      <c r="F44" s="23">
        <v>1633.702298288988</v>
      </c>
      <c r="G44" s="23">
        <v>1843.7633420972593</v>
      </c>
      <c r="H44" s="23">
        <v>1477.0509395255797</v>
      </c>
    </row>
    <row r="45" spans="1:8" x14ac:dyDescent="0.35">
      <c r="A45" s="10" t="s">
        <v>92</v>
      </c>
      <c r="B45" s="6" t="s">
        <v>93</v>
      </c>
      <c r="C45" s="23">
        <v>635.39894633376139</v>
      </c>
      <c r="D45" s="23">
        <v>635.39894633376139</v>
      </c>
      <c r="E45" s="23">
        <v>591.20586726445947</v>
      </c>
      <c r="F45" s="23">
        <v>679.1993846989925</v>
      </c>
      <c r="G45" s="23">
        <v>1265.3099245792487</v>
      </c>
      <c r="H45" s="23">
        <v>1122.5992840677027</v>
      </c>
    </row>
    <row r="46" spans="1:8" x14ac:dyDescent="0.35">
      <c r="A46" s="10" t="s">
        <v>94</v>
      </c>
      <c r="B46" s="6" t="s">
        <v>95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</row>
    <row r="47" spans="1:8" x14ac:dyDescent="0.35">
      <c r="A47" s="10" t="s">
        <v>96</v>
      </c>
      <c r="B47" s="6" t="s">
        <v>97</v>
      </c>
      <c r="C47" s="23">
        <v>568.0731767120127</v>
      </c>
      <c r="D47" s="23">
        <v>568.0731767120127</v>
      </c>
      <c r="E47" s="23">
        <v>591.24983187525231</v>
      </c>
      <c r="F47" s="23">
        <v>858.02630320880291</v>
      </c>
      <c r="G47" s="23">
        <v>901.13306091107347</v>
      </c>
      <c r="H47" s="23">
        <v>644.44155844155853</v>
      </c>
    </row>
    <row r="48" spans="1:8" x14ac:dyDescent="0.35">
      <c r="A48" s="10" t="s">
        <v>98</v>
      </c>
      <c r="B48" s="6" t="s">
        <v>99</v>
      </c>
      <c r="C48" s="23">
        <v>214.63424257504778</v>
      </c>
      <c r="D48" s="23">
        <v>214.63424257504778</v>
      </c>
      <c r="E48" s="23">
        <v>239.07084892384032</v>
      </c>
      <c r="F48" s="23">
        <v>227.01312811459695</v>
      </c>
      <c r="G48" s="23">
        <v>230.11333977539863</v>
      </c>
      <c r="H48" s="23">
        <v>237.16038961038953</v>
      </c>
    </row>
    <row r="49" spans="1:8" x14ac:dyDescent="0.35">
      <c r="A49" s="10" t="s">
        <v>100</v>
      </c>
      <c r="B49" s="16" t="s">
        <v>101</v>
      </c>
      <c r="C49" s="23">
        <v>1105.1333389897657</v>
      </c>
      <c r="D49" s="23">
        <v>1105.1333389897657</v>
      </c>
      <c r="E49" s="23">
        <v>2585.3477545591368</v>
      </c>
      <c r="F49" s="23">
        <v>2315.1964215594194</v>
      </c>
      <c r="G49" s="23">
        <v>2243.851904899976</v>
      </c>
      <c r="H49" s="23">
        <v>2682.2572490435909</v>
      </c>
    </row>
    <row r="50" spans="1:8" x14ac:dyDescent="0.35">
      <c r="A50" s="3" t="s">
        <v>102</v>
      </c>
      <c r="B50" s="4"/>
      <c r="C50" s="4"/>
      <c r="D50" s="4"/>
      <c r="E50" s="4"/>
      <c r="F50" s="4"/>
      <c r="G50" s="4"/>
      <c r="H50" s="24"/>
    </row>
    <row r="51" spans="1:8" x14ac:dyDescent="0.35">
      <c r="A51" s="10" t="s">
        <v>103</v>
      </c>
      <c r="B51" s="6" t="s">
        <v>104</v>
      </c>
      <c r="C51" s="23">
        <v>620.97667315420017</v>
      </c>
      <c r="D51" s="23">
        <v>620.97667315420017</v>
      </c>
      <c r="E51" s="23">
        <v>1055.2342241374779</v>
      </c>
      <c r="F51" s="23">
        <v>997.22687649015666</v>
      </c>
      <c r="G51" s="23">
        <v>1506.4040488129317</v>
      </c>
      <c r="H51" s="23">
        <v>754.32012612858091</v>
      </c>
    </row>
    <row r="52" spans="1:8" x14ac:dyDescent="0.35">
      <c r="A52" s="10" t="s">
        <v>105</v>
      </c>
      <c r="B52" s="6" t="s">
        <v>106</v>
      </c>
      <c r="C52" s="23">
        <v>313.38999473684333</v>
      </c>
      <c r="D52" s="23">
        <v>313.38999473684333</v>
      </c>
      <c r="E52" s="23">
        <v>833.32866421283643</v>
      </c>
      <c r="F52" s="23">
        <v>907.44568861837513</v>
      </c>
      <c r="G52" s="23">
        <v>1003.3761286905946</v>
      </c>
      <c r="H52" s="23">
        <v>793.39811011022277</v>
      </c>
    </row>
    <row r="53" spans="1:8" x14ac:dyDescent="0.35">
      <c r="A53" s="10" t="s">
        <v>107</v>
      </c>
      <c r="B53" s="6" t="s">
        <v>108</v>
      </c>
      <c r="C53" s="23">
        <v>119.51002150913307</v>
      </c>
      <c r="D53" s="23">
        <v>119.51002150913307</v>
      </c>
      <c r="E53" s="23">
        <v>338.05156867509794</v>
      </c>
      <c r="F53" s="23">
        <v>397.94848380814142</v>
      </c>
      <c r="G53" s="23">
        <v>366.03420060596221</v>
      </c>
      <c r="H53" s="23">
        <v>177.7515466853045</v>
      </c>
    </row>
    <row r="54" spans="1:8" x14ac:dyDescent="0.35">
      <c r="A54" s="7" t="s">
        <v>109</v>
      </c>
      <c r="B54" s="15" t="s">
        <v>110</v>
      </c>
      <c r="C54" s="23">
        <v>460.96143092881852</v>
      </c>
      <c r="D54" s="23">
        <v>460.96143092881852</v>
      </c>
      <c r="E54" s="23">
        <v>157.3749858205947</v>
      </c>
      <c r="F54" s="23">
        <v>112.16629434148237</v>
      </c>
      <c r="G54" s="23">
        <v>243.87383478615291</v>
      </c>
      <c r="H54" s="23">
        <v>321.14884300004292</v>
      </c>
    </row>
    <row r="55" spans="1:8" x14ac:dyDescent="0.35">
      <c r="A55" s="7" t="s">
        <v>111</v>
      </c>
      <c r="B55" s="17" t="s">
        <v>112</v>
      </c>
      <c r="C55" s="23">
        <v>1279.8028227102475</v>
      </c>
      <c r="D55" s="23">
        <v>1279.8028227102475</v>
      </c>
      <c r="E55" s="23">
        <v>987.35403151023661</v>
      </c>
      <c r="F55" s="23">
        <v>960.04174876075592</v>
      </c>
      <c r="G55" s="23">
        <v>1436.0583362071038</v>
      </c>
      <c r="H55" s="23">
        <v>1388.7062464118403</v>
      </c>
    </row>
    <row r="56" spans="1:8" x14ac:dyDescent="0.35">
      <c r="A56" s="3" t="s">
        <v>113</v>
      </c>
      <c r="B56" s="14"/>
      <c r="C56" s="14"/>
      <c r="D56" s="14"/>
      <c r="E56" s="14"/>
      <c r="F56" s="14"/>
      <c r="G56" s="14"/>
      <c r="H56" s="18"/>
    </row>
    <row r="57" spans="1:8" x14ac:dyDescent="0.35">
      <c r="A57" s="10" t="s">
        <v>114</v>
      </c>
      <c r="B57" s="6" t="s">
        <v>115</v>
      </c>
      <c r="C57" s="23">
        <v>5730.9557140251209</v>
      </c>
      <c r="D57" s="23">
        <v>5730.9557140251209</v>
      </c>
      <c r="E57" s="23">
        <v>7196.5172014293139</v>
      </c>
      <c r="F57" s="23">
        <v>7801.7248407081615</v>
      </c>
      <c r="G57" s="23">
        <v>12938.927741959957</v>
      </c>
      <c r="H57" s="23">
        <v>11034.927690225219</v>
      </c>
    </row>
    <row r="58" spans="1:8" x14ac:dyDescent="0.35">
      <c r="A58" s="7" t="s">
        <v>116</v>
      </c>
      <c r="B58" s="8" t="s">
        <v>117</v>
      </c>
      <c r="C58" s="23" t="s">
        <v>149</v>
      </c>
      <c r="D58" s="23" t="s">
        <v>149</v>
      </c>
      <c r="E58" s="23" t="s">
        <v>149</v>
      </c>
      <c r="F58" s="23" t="s">
        <v>149</v>
      </c>
      <c r="G58" s="23" t="s">
        <v>149</v>
      </c>
      <c r="H58" s="23" t="s">
        <v>149</v>
      </c>
    </row>
    <row r="59" spans="1:8" x14ac:dyDescent="0.35">
      <c r="A59" s="3" t="s">
        <v>118</v>
      </c>
      <c r="B59" s="14"/>
      <c r="C59" s="14"/>
      <c r="D59" s="14"/>
      <c r="E59" s="14"/>
      <c r="F59" s="14"/>
      <c r="G59" s="14"/>
      <c r="H59" s="18"/>
    </row>
    <row r="60" spans="1:8" x14ac:dyDescent="0.35">
      <c r="A60" s="7" t="s">
        <v>119</v>
      </c>
      <c r="B60" s="8" t="s">
        <v>120</v>
      </c>
      <c r="C60" s="23">
        <v>73.126704305411536</v>
      </c>
      <c r="D60" s="23">
        <v>73.126704305411536</v>
      </c>
      <c r="E60" s="23">
        <v>0</v>
      </c>
      <c r="F60" s="23">
        <v>0</v>
      </c>
      <c r="G60" s="23">
        <v>0</v>
      </c>
      <c r="H60" s="23">
        <v>0</v>
      </c>
    </row>
    <row r="61" spans="1:8" x14ac:dyDescent="0.35">
      <c r="A61" s="7" t="s">
        <v>121</v>
      </c>
      <c r="B61" s="8" t="s">
        <v>122</v>
      </c>
      <c r="C61" s="23">
        <v>134.28909073657152</v>
      </c>
      <c r="D61" s="23">
        <v>134.28909073657152</v>
      </c>
      <c r="E61" s="23">
        <v>0</v>
      </c>
      <c r="F61" s="23">
        <v>0</v>
      </c>
      <c r="G61" s="23">
        <v>0</v>
      </c>
      <c r="H61" s="23">
        <v>0</v>
      </c>
    </row>
    <row r="62" spans="1:8" x14ac:dyDescent="0.35">
      <c r="A62" s="7" t="s">
        <v>123</v>
      </c>
      <c r="B62" s="8" t="s">
        <v>124</v>
      </c>
      <c r="C62" s="23">
        <v>6673.5781392135486</v>
      </c>
      <c r="D62" s="23">
        <v>6673.5781392135486</v>
      </c>
      <c r="E62" s="23">
        <v>6699.5085995085983</v>
      </c>
      <c r="F62" s="23">
        <v>3645.4233588024331</v>
      </c>
      <c r="G62" s="23">
        <v>3561.5513486346117</v>
      </c>
      <c r="H62" s="23">
        <v>6184.1227650001192</v>
      </c>
    </row>
    <row r="63" spans="1:8" x14ac:dyDescent="0.35">
      <c r="A63" s="3" t="s">
        <v>125</v>
      </c>
      <c r="B63" s="14"/>
      <c r="C63" s="14"/>
      <c r="D63" s="14"/>
      <c r="E63" s="14"/>
      <c r="F63" s="14"/>
      <c r="G63" s="14"/>
      <c r="H63" s="18"/>
    </row>
    <row r="64" spans="1:8" x14ac:dyDescent="0.35">
      <c r="A64" s="7" t="s">
        <v>126</v>
      </c>
      <c r="B64" s="15" t="s">
        <v>127</v>
      </c>
      <c r="C64" s="23">
        <v>431.36860247098099</v>
      </c>
      <c r="D64" s="23">
        <v>431.36860247098099</v>
      </c>
      <c r="E64" s="23">
        <v>0</v>
      </c>
      <c r="F64" s="23">
        <v>0</v>
      </c>
      <c r="G64" s="23">
        <v>0</v>
      </c>
      <c r="H64" s="23">
        <v>0</v>
      </c>
    </row>
    <row r="65" spans="1:8" x14ac:dyDescent="0.35">
      <c r="A65" s="3" t="s">
        <v>128</v>
      </c>
      <c r="B65" s="18"/>
      <c r="C65" s="18"/>
      <c r="D65" s="18"/>
      <c r="E65" s="18"/>
      <c r="F65" s="18"/>
      <c r="G65" s="18"/>
      <c r="H65" s="18"/>
    </row>
    <row r="66" spans="1:8" x14ac:dyDescent="0.35">
      <c r="A66" s="7" t="s">
        <v>129</v>
      </c>
      <c r="B66" s="8" t="s">
        <v>130</v>
      </c>
      <c r="C66" s="23">
        <v>0</v>
      </c>
      <c r="D66" s="23">
        <v>57.320615140698578</v>
      </c>
      <c r="E66" s="23">
        <v>114</v>
      </c>
      <c r="F66" s="23">
        <v>129.54850245864998</v>
      </c>
      <c r="G66" s="23">
        <v>0</v>
      </c>
      <c r="H66" s="23">
        <v>0</v>
      </c>
    </row>
    <row r="67" spans="1:8" x14ac:dyDescent="0.35">
      <c r="A67" s="3" t="s">
        <v>131</v>
      </c>
      <c r="B67" s="18"/>
      <c r="C67" s="18"/>
      <c r="D67" s="18"/>
      <c r="E67" s="18"/>
      <c r="F67" s="18"/>
      <c r="G67" s="18"/>
      <c r="H67" s="18"/>
    </row>
    <row r="68" spans="1:8" x14ac:dyDescent="0.35">
      <c r="A68" s="7" t="s">
        <v>132</v>
      </c>
      <c r="B68" s="8" t="s">
        <v>133</v>
      </c>
      <c r="C68" s="23" t="s">
        <v>149</v>
      </c>
      <c r="D68" s="23" t="s">
        <v>149</v>
      </c>
      <c r="E68" s="23">
        <v>1200</v>
      </c>
      <c r="F68" s="23">
        <v>120</v>
      </c>
      <c r="G68" s="23">
        <v>100</v>
      </c>
      <c r="H68" s="23">
        <v>0</v>
      </c>
    </row>
    <row r="69" spans="1:8" x14ac:dyDescent="0.35">
      <c r="A69" s="7" t="s">
        <v>134</v>
      </c>
      <c r="B69" s="8" t="s">
        <v>135</v>
      </c>
      <c r="C69" s="23" t="s">
        <v>149</v>
      </c>
      <c r="D69" s="23" t="s">
        <v>149</v>
      </c>
      <c r="E69" s="23">
        <v>700</v>
      </c>
      <c r="F69" s="23">
        <v>70</v>
      </c>
      <c r="G69" s="23">
        <v>100</v>
      </c>
      <c r="H69" s="23">
        <v>0</v>
      </c>
    </row>
    <row r="70" spans="1:8" x14ac:dyDescent="0.35">
      <c r="A70" s="7" t="s">
        <v>136</v>
      </c>
      <c r="B70" s="8" t="s">
        <v>137</v>
      </c>
      <c r="C70" s="23" t="s">
        <v>149</v>
      </c>
      <c r="D70" s="23" t="s">
        <v>149</v>
      </c>
      <c r="E70" s="23">
        <v>50</v>
      </c>
      <c r="F70" s="23">
        <v>50</v>
      </c>
      <c r="G70" s="23">
        <v>0</v>
      </c>
      <c r="H70" s="23">
        <v>0</v>
      </c>
    </row>
    <row r="71" spans="1:8" x14ac:dyDescent="0.35">
      <c r="A71" s="7" t="s">
        <v>138</v>
      </c>
      <c r="B71" s="8" t="s">
        <v>139</v>
      </c>
      <c r="C71" s="23" t="s">
        <v>149</v>
      </c>
      <c r="D71" s="23" t="s">
        <v>149</v>
      </c>
      <c r="E71" s="23">
        <v>50</v>
      </c>
      <c r="F71" s="23">
        <v>50</v>
      </c>
      <c r="G71" s="23">
        <v>0</v>
      </c>
      <c r="H71" s="23">
        <v>0</v>
      </c>
    </row>
    <row r="72" spans="1:8" x14ac:dyDescent="0.35">
      <c r="A72" s="7" t="s">
        <v>140</v>
      </c>
      <c r="B72" s="8" t="s">
        <v>141</v>
      </c>
      <c r="C72" s="23" t="s">
        <v>149</v>
      </c>
      <c r="D72" s="23" t="s">
        <v>149</v>
      </c>
      <c r="E72" s="23">
        <v>400</v>
      </c>
      <c r="F72" s="23">
        <v>40</v>
      </c>
      <c r="G72" s="23">
        <v>50</v>
      </c>
      <c r="H72" s="23">
        <v>0</v>
      </c>
    </row>
    <row r="73" spans="1:8" x14ac:dyDescent="0.35">
      <c r="A73" s="7" t="s">
        <v>142</v>
      </c>
      <c r="B73" s="8" t="s">
        <v>143</v>
      </c>
      <c r="C73" s="23" t="s">
        <v>149</v>
      </c>
      <c r="D73" s="23" t="s">
        <v>149</v>
      </c>
      <c r="E73" s="23">
        <v>50</v>
      </c>
      <c r="F73" s="23">
        <v>50</v>
      </c>
      <c r="G73" s="23">
        <v>0</v>
      </c>
      <c r="H73" s="23">
        <v>0</v>
      </c>
    </row>
    <row r="74" spans="1:8" x14ac:dyDescent="0.35">
      <c r="A74" s="7" t="s">
        <v>144</v>
      </c>
      <c r="B74" s="8" t="s">
        <v>145</v>
      </c>
      <c r="C74" s="23" t="s">
        <v>149</v>
      </c>
      <c r="D74" s="23" t="s">
        <v>149</v>
      </c>
      <c r="E74" s="23" t="s">
        <v>149</v>
      </c>
      <c r="F74" s="23" t="s">
        <v>149</v>
      </c>
      <c r="G74" s="23">
        <v>20</v>
      </c>
      <c r="H74" s="23">
        <v>0</v>
      </c>
    </row>
  </sheetData>
  <conditionalFormatting sqref="B64">
    <cfRule type="duplicateValues" dxfId="23" priority="1"/>
  </conditionalFormatting>
  <hyperlinks>
    <hyperlink ref="B74" r:id="rId1" display="https://sellercentral.amazon.in/skucentral?mSku=SANYF01&amp;condition=New&amp;ref_=myp_skuc" xr:uid="{414296F7-C65C-4FD0-97B7-A047AFA1289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42486-DD65-47D5-A301-72A7F6ECF838}">
  <dimension ref="A1:BR75"/>
  <sheetViews>
    <sheetView topLeftCell="BL38" workbookViewId="0">
      <selection activeCell="BM2" sqref="BM2:BR55"/>
    </sheetView>
  </sheetViews>
  <sheetFormatPr defaultRowHeight="14.5" x14ac:dyDescent="0.35"/>
  <cols>
    <col min="1" max="23" width="0" hidden="1" customWidth="1"/>
    <col min="24" max="24" width="0" style="34" hidden="1" customWidth="1"/>
    <col min="25" max="26" width="0" hidden="1" customWidth="1"/>
    <col min="27" max="27" width="11.90625" hidden="1" customWidth="1"/>
    <col min="28" max="32" width="0" hidden="1" customWidth="1"/>
    <col min="33" max="33" width="11.90625" hidden="1" customWidth="1"/>
    <col min="34" max="35" width="0" hidden="1" customWidth="1"/>
    <col min="36" max="36" width="13.453125" hidden="1" customWidth="1"/>
    <col min="37" max="38" width="0" hidden="1" customWidth="1"/>
    <col min="39" max="39" width="11.90625" hidden="1" customWidth="1"/>
    <col min="40" max="41" width="0" hidden="1" customWidth="1"/>
    <col min="42" max="42" width="13.453125" hidden="1" customWidth="1"/>
    <col min="43" max="44" width="0" hidden="1" customWidth="1"/>
    <col min="45" max="45" width="11.90625" hidden="1" customWidth="1"/>
    <col min="46" max="47" width="0" hidden="1" customWidth="1"/>
    <col min="48" max="48" width="13.453125" hidden="1" customWidth="1"/>
    <col min="49" max="62" width="0" hidden="1" customWidth="1"/>
    <col min="63" max="63" width="0" style="33" hidden="1" customWidth="1"/>
  </cols>
  <sheetData>
    <row r="1" spans="1:70" x14ac:dyDescent="0.35">
      <c r="A1" s="33" t="s">
        <v>150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70" x14ac:dyDescent="0.35">
      <c r="A2" s="19" t="s">
        <v>146</v>
      </c>
      <c r="B2" s="20" t="s">
        <v>147</v>
      </c>
      <c r="C2" s="27">
        <v>46235</v>
      </c>
      <c r="F2" s="19" t="s">
        <v>146</v>
      </c>
      <c r="G2" s="20" t="s">
        <v>147</v>
      </c>
      <c r="H2" s="27">
        <v>46204</v>
      </c>
      <c r="J2" s="19" t="s">
        <v>146</v>
      </c>
      <c r="K2" s="20" t="s">
        <v>147</v>
      </c>
      <c r="L2" s="27">
        <v>46174</v>
      </c>
      <c r="O2" s="19" t="s">
        <v>146</v>
      </c>
      <c r="P2" s="20" t="s">
        <v>147</v>
      </c>
      <c r="Q2" s="27">
        <v>46143</v>
      </c>
      <c r="T2" s="19" t="s">
        <v>146</v>
      </c>
      <c r="U2" s="20" t="s">
        <v>147</v>
      </c>
      <c r="V2" s="27">
        <v>46113</v>
      </c>
      <c r="AA2" s="19" t="s">
        <v>146</v>
      </c>
      <c r="AB2" s="20" t="s">
        <v>147</v>
      </c>
      <c r="AC2" s="20" t="s">
        <v>155</v>
      </c>
      <c r="AD2" s="27">
        <v>46266</v>
      </c>
      <c r="AG2" s="19" t="s">
        <v>146</v>
      </c>
      <c r="AH2" s="20" t="s">
        <v>147</v>
      </c>
      <c r="AI2" s="20" t="s">
        <v>155</v>
      </c>
      <c r="AJ2" s="27">
        <v>46235</v>
      </c>
      <c r="AM2" s="19" t="s">
        <v>146</v>
      </c>
      <c r="AN2" s="20" t="s">
        <v>147</v>
      </c>
      <c r="AO2" s="20" t="s">
        <v>155</v>
      </c>
      <c r="AP2" s="27">
        <v>46204</v>
      </c>
      <c r="AS2" s="19" t="s">
        <v>146</v>
      </c>
      <c r="AT2" s="20" t="s">
        <v>147</v>
      </c>
      <c r="AU2" s="20" t="s">
        <v>155</v>
      </c>
      <c r="AV2" s="27">
        <v>46174</v>
      </c>
      <c r="AY2" s="19" t="s">
        <v>146</v>
      </c>
      <c r="AZ2" s="20" t="s">
        <v>147</v>
      </c>
      <c r="BA2" s="20" t="s">
        <v>155</v>
      </c>
      <c r="BB2" s="27">
        <v>46143</v>
      </c>
      <c r="BE2" s="19" t="s">
        <v>146</v>
      </c>
      <c r="BF2" s="20" t="s">
        <v>147</v>
      </c>
      <c r="BG2" s="20" t="s">
        <v>155</v>
      </c>
      <c r="BH2" s="27">
        <v>46113</v>
      </c>
      <c r="BM2" s="44" t="s">
        <v>166</v>
      </c>
      <c r="BN2" s="47">
        <v>46113</v>
      </c>
      <c r="BQ2" s="44" t="s">
        <v>156</v>
      </c>
      <c r="BR2" s="47">
        <v>46174</v>
      </c>
    </row>
    <row r="3" spans="1:70" x14ac:dyDescent="0.35">
      <c r="A3" s="2"/>
      <c r="B3" s="28"/>
      <c r="C3" s="21" t="s">
        <v>148</v>
      </c>
      <c r="F3" s="2"/>
      <c r="G3" s="28"/>
      <c r="H3" s="21" t="s">
        <v>148</v>
      </c>
      <c r="J3" s="2"/>
      <c r="K3" s="28"/>
      <c r="L3" s="21" t="s">
        <v>148</v>
      </c>
      <c r="O3" s="2"/>
      <c r="P3" s="28"/>
      <c r="Q3" s="21" t="s">
        <v>148</v>
      </c>
      <c r="T3" s="2"/>
      <c r="U3" s="28"/>
      <c r="V3" s="21" t="s">
        <v>148</v>
      </c>
      <c r="AA3" s="35"/>
      <c r="AB3" s="28"/>
      <c r="AC3" s="28"/>
      <c r="AD3" s="21" t="s">
        <v>148</v>
      </c>
      <c r="AG3" s="35"/>
      <c r="AH3" s="28"/>
      <c r="AI3" s="28"/>
      <c r="AJ3" s="21" t="s">
        <v>148</v>
      </c>
      <c r="AM3" s="35"/>
      <c r="AN3" s="28"/>
      <c r="AO3" s="28"/>
      <c r="AP3" s="21" t="s">
        <v>148</v>
      </c>
      <c r="AS3" s="35"/>
      <c r="AT3" s="28"/>
      <c r="AU3" s="28"/>
      <c r="AV3" s="21" t="s">
        <v>148</v>
      </c>
      <c r="AY3" s="35"/>
      <c r="AZ3" s="28"/>
      <c r="BA3" s="28"/>
      <c r="BB3" s="21" t="s">
        <v>148</v>
      </c>
      <c r="BE3" s="35"/>
      <c r="BF3" s="28"/>
      <c r="BG3" s="28"/>
      <c r="BH3" s="21" t="s">
        <v>148</v>
      </c>
      <c r="BM3" s="43" t="s">
        <v>110</v>
      </c>
      <c r="BN3">
        <v>80</v>
      </c>
      <c r="BQ3" s="43" t="s">
        <v>110</v>
      </c>
      <c r="BR3">
        <v>78</v>
      </c>
    </row>
    <row r="4" spans="1:70" x14ac:dyDescent="0.35">
      <c r="A4" s="4"/>
      <c r="B4" s="18"/>
      <c r="C4" s="22"/>
      <c r="F4" s="4"/>
      <c r="G4" s="18"/>
      <c r="H4" s="22"/>
      <c r="J4" s="4"/>
      <c r="K4" s="18"/>
      <c r="L4" s="22"/>
      <c r="O4" s="4"/>
      <c r="P4" s="18"/>
      <c r="Q4" s="22"/>
      <c r="T4" s="4"/>
      <c r="U4" s="18"/>
      <c r="V4" s="22"/>
      <c r="AA4" s="36"/>
      <c r="AB4" s="18"/>
      <c r="AC4" s="18"/>
      <c r="AD4" s="22"/>
      <c r="AG4" s="36"/>
      <c r="AH4" s="18"/>
      <c r="AI4" s="18"/>
      <c r="AJ4" s="22"/>
      <c r="AM4" s="36"/>
      <c r="AN4" s="18"/>
      <c r="AO4" s="18"/>
      <c r="AP4" s="22"/>
      <c r="AS4" s="36"/>
      <c r="AT4" s="18"/>
      <c r="AU4" s="18"/>
      <c r="AV4" s="22"/>
      <c r="AY4" s="36"/>
      <c r="AZ4" s="18"/>
      <c r="BA4" s="18"/>
      <c r="BB4" s="22"/>
      <c r="BE4" s="36"/>
      <c r="BF4" s="18"/>
      <c r="BG4" s="18"/>
      <c r="BH4" s="22"/>
      <c r="BM4" s="43" t="s">
        <v>108</v>
      </c>
      <c r="BN4">
        <v>84</v>
      </c>
      <c r="BQ4" s="43" t="s">
        <v>108</v>
      </c>
      <c r="BR4">
        <v>140</v>
      </c>
    </row>
    <row r="5" spans="1:70" x14ac:dyDescent="0.35">
      <c r="A5" s="6" t="s">
        <v>14</v>
      </c>
      <c r="B5" s="29">
        <v>179</v>
      </c>
      <c r="C5" s="23">
        <v>40822.518004544305</v>
      </c>
      <c r="F5" s="6" t="s">
        <v>14</v>
      </c>
      <c r="G5" s="29">
        <v>179</v>
      </c>
      <c r="H5" s="23">
        <v>27536.265982882142</v>
      </c>
      <c r="J5" s="6" t="s">
        <v>14</v>
      </c>
      <c r="K5" s="29">
        <v>179</v>
      </c>
      <c r="L5" s="23">
        <v>27536.265982882142</v>
      </c>
      <c r="O5" s="6" t="s">
        <v>14</v>
      </c>
      <c r="P5" s="29">
        <v>179</v>
      </c>
      <c r="Q5" s="23">
        <v>28939.96852288345</v>
      </c>
      <c r="T5" s="6" t="s">
        <v>14</v>
      </c>
      <c r="U5" s="29">
        <v>179</v>
      </c>
      <c r="V5" s="23">
        <v>28939.96852288345</v>
      </c>
      <c r="AA5" s="37" t="s">
        <v>14</v>
      </c>
      <c r="AB5" s="29">
        <v>179</v>
      </c>
      <c r="AC5" s="38">
        <v>0.21246547424480638</v>
      </c>
      <c r="AD5" s="26">
        <v>8025.5247541097733</v>
      </c>
      <c r="AG5" s="37" t="s">
        <v>14</v>
      </c>
      <c r="AH5" s="29">
        <v>179</v>
      </c>
      <c r="AI5" s="38">
        <v>0.21641701611779082</v>
      </c>
      <c r="AJ5" s="26">
        <v>8834.6875369582704</v>
      </c>
      <c r="AM5" s="37" t="s">
        <v>14</v>
      </c>
      <c r="AN5" s="29">
        <v>179</v>
      </c>
      <c r="AO5" s="38">
        <v>0.21210073230366519</v>
      </c>
      <c r="AP5" s="26">
        <v>5840.4621798778071</v>
      </c>
      <c r="AS5" s="37" t="s">
        <v>14</v>
      </c>
      <c r="AT5" s="29">
        <v>179</v>
      </c>
      <c r="AU5" s="38">
        <v>0.21777057877215744</v>
      </c>
      <c r="AV5" s="26">
        <v>5996.5885803163146</v>
      </c>
      <c r="AY5" s="37" t="s">
        <v>14</v>
      </c>
      <c r="AZ5" s="29">
        <v>179</v>
      </c>
      <c r="BA5" s="38">
        <v>0.20842253923341966</v>
      </c>
      <c r="BB5" s="26">
        <v>6031.741724874606</v>
      </c>
      <c r="BE5" s="37" t="s">
        <v>14</v>
      </c>
      <c r="BF5" s="29">
        <v>179</v>
      </c>
      <c r="BG5" s="38">
        <v>0.20842253923341966</v>
      </c>
      <c r="BH5" s="26">
        <v>6031.741724874606</v>
      </c>
      <c r="BM5" s="43" t="s">
        <v>106</v>
      </c>
      <c r="BN5">
        <v>260</v>
      </c>
      <c r="BQ5" s="43" t="s">
        <v>106</v>
      </c>
      <c r="BR5">
        <v>416</v>
      </c>
    </row>
    <row r="6" spans="1:70" x14ac:dyDescent="0.35">
      <c r="A6" s="8" t="s">
        <v>16</v>
      </c>
      <c r="B6" s="29">
        <v>65</v>
      </c>
      <c r="C6" s="23">
        <v>71000</v>
      </c>
      <c r="F6" s="8" t="s">
        <v>16</v>
      </c>
      <c r="G6" s="29">
        <v>65</v>
      </c>
      <c r="H6" s="23">
        <v>63317.706750315323</v>
      </c>
      <c r="J6" s="8" t="s">
        <v>16</v>
      </c>
      <c r="K6" s="29">
        <v>65</v>
      </c>
      <c r="L6" s="23">
        <v>63317.706750315323</v>
      </c>
      <c r="O6" s="8" t="s">
        <v>16</v>
      </c>
      <c r="P6" s="29">
        <v>65</v>
      </c>
      <c r="Q6" s="23">
        <v>29837.180890205727</v>
      </c>
      <c r="T6" s="8" t="s">
        <v>16</v>
      </c>
      <c r="U6" s="29">
        <v>65</v>
      </c>
      <c r="V6" s="23">
        <v>29837.180890205727</v>
      </c>
      <c r="AA6" s="39" t="s">
        <v>16</v>
      </c>
      <c r="AB6" s="29">
        <v>65</v>
      </c>
      <c r="AC6" s="38">
        <v>0.22288141001317713</v>
      </c>
      <c r="AD6" s="26">
        <v>16724.818387925163</v>
      </c>
      <c r="AG6" s="39" t="s">
        <v>16</v>
      </c>
      <c r="AH6" s="29">
        <v>65</v>
      </c>
      <c r="AI6" s="38">
        <v>0.24008722722883324</v>
      </c>
      <c r="AJ6" s="26">
        <v>17046.193133247161</v>
      </c>
      <c r="AM6" s="39" t="s">
        <v>16</v>
      </c>
      <c r="AN6" s="29">
        <v>65</v>
      </c>
      <c r="AO6" s="38">
        <v>0.18822781724474286</v>
      </c>
      <c r="AP6" s="26">
        <v>11918.153734554573</v>
      </c>
      <c r="AS6" s="39" t="s">
        <v>16</v>
      </c>
      <c r="AT6" s="29">
        <v>65</v>
      </c>
      <c r="AU6" s="38">
        <v>0.25000189426402525</v>
      </c>
      <c r="AV6" s="26">
        <v>15829.546628032889</v>
      </c>
      <c r="AY6" s="39" t="s">
        <v>16</v>
      </c>
      <c r="AZ6" s="29">
        <v>65</v>
      </c>
      <c r="BA6" s="38">
        <v>0.21648677566876773</v>
      </c>
      <c r="BB6" s="26">
        <v>6459.355085966411</v>
      </c>
      <c r="BE6" s="39" t="s">
        <v>16</v>
      </c>
      <c r="BF6" s="29">
        <v>65</v>
      </c>
      <c r="BG6" s="38">
        <v>0.21648677566876773</v>
      </c>
      <c r="BH6" s="26">
        <v>6459.355085966411</v>
      </c>
      <c r="BM6" s="43" t="s">
        <v>104</v>
      </c>
      <c r="BN6">
        <v>130</v>
      </c>
      <c r="BQ6" s="43" t="s">
        <v>104</v>
      </c>
      <c r="BR6">
        <v>650</v>
      </c>
    </row>
    <row r="7" spans="1:70" x14ac:dyDescent="0.35">
      <c r="A7" s="8" t="s">
        <v>18</v>
      </c>
      <c r="B7" s="29">
        <v>229</v>
      </c>
      <c r="C7" s="23">
        <v>0</v>
      </c>
      <c r="F7" s="8" t="s">
        <v>18</v>
      </c>
      <c r="G7" s="29">
        <v>229</v>
      </c>
      <c r="H7" s="23">
        <v>0</v>
      </c>
      <c r="J7" s="8" t="s">
        <v>18</v>
      </c>
      <c r="K7" s="29">
        <v>229</v>
      </c>
      <c r="L7" s="23">
        <v>0</v>
      </c>
      <c r="O7" s="8" t="s">
        <v>18</v>
      </c>
      <c r="P7" s="29">
        <v>229</v>
      </c>
      <c r="Q7" s="23">
        <v>0</v>
      </c>
      <c r="T7" s="8" t="s">
        <v>18</v>
      </c>
      <c r="U7" s="29">
        <v>229</v>
      </c>
      <c r="V7" s="23">
        <v>0</v>
      </c>
      <c r="AA7" s="39" t="s">
        <v>18</v>
      </c>
      <c r="AB7" s="29">
        <v>229</v>
      </c>
      <c r="AC7" s="38" t="e">
        <v>#N/A</v>
      </c>
      <c r="AD7" s="26" t="s">
        <v>149</v>
      </c>
      <c r="AG7" s="39" t="s">
        <v>18</v>
      </c>
      <c r="AH7" s="29">
        <v>229</v>
      </c>
      <c r="AI7" s="38">
        <v>0</v>
      </c>
      <c r="AJ7" s="26" t="s">
        <v>149</v>
      </c>
      <c r="AM7" s="39" t="s">
        <v>18</v>
      </c>
      <c r="AN7" s="29">
        <v>229</v>
      </c>
      <c r="AO7" s="38">
        <v>0</v>
      </c>
      <c r="AP7" s="26" t="s">
        <v>149</v>
      </c>
      <c r="AS7" s="39" t="s">
        <v>18</v>
      </c>
      <c r="AT7" s="29">
        <v>229</v>
      </c>
      <c r="AU7" s="38">
        <v>0</v>
      </c>
      <c r="AV7" s="26" t="s">
        <v>149</v>
      </c>
      <c r="AY7" s="39" t="s">
        <v>18</v>
      </c>
      <c r="AZ7" s="29">
        <v>229</v>
      </c>
      <c r="BA7" s="38">
        <v>0</v>
      </c>
      <c r="BB7" s="26" t="s">
        <v>149</v>
      </c>
      <c r="BE7" s="39" t="s">
        <v>18</v>
      </c>
      <c r="BF7" s="29">
        <v>229</v>
      </c>
      <c r="BG7" s="38">
        <v>0</v>
      </c>
      <c r="BH7" s="26" t="s">
        <v>149</v>
      </c>
      <c r="BM7" s="43" t="s">
        <v>70</v>
      </c>
      <c r="BN7">
        <v>336</v>
      </c>
      <c r="BQ7" s="43" t="s">
        <v>70</v>
      </c>
      <c r="BR7">
        <v>4560</v>
      </c>
    </row>
    <row r="8" spans="1:70" x14ac:dyDescent="0.35">
      <c r="A8" s="9" t="s">
        <v>20</v>
      </c>
      <c r="B8" s="30">
        <v>199</v>
      </c>
      <c r="C8" s="23">
        <v>26710.444497541695</v>
      </c>
      <c r="F8" s="9" t="s">
        <v>20</v>
      </c>
      <c r="G8" s="30">
        <v>199</v>
      </c>
      <c r="H8" s="23">
        <v>19939.215856425271</v>
      </c>
      <c r="J8" s="9" t="s">
        <v>20</v>
      </c>
      <c r="K8" s="30">
        <v>199</v>
      </c>
      <c r="L8" s="23">
        <v>19939.215856425271</v>
      </c>
      <c r="O8" s="9" t="s">
        <v>20</v>
      </c>
      <c r="P8" s="30">
        <v>199</v>
      </c>
      <c r="Q8" s="23">
        <v>21438.580573797863</v>
      </c>
      <c r="T8" s="9" t="s">
        <v>20</v>
      </c>
      <c r="U8" s="30">
        <v>199</v>
      </c>
      <c r="V8" s="23">
        <v>21438.580573797863</v>
      </c>
      <c r="AA8" s="30" t="s">
        <v>20</v>
      </c>
      <c r="AB8" s="30">
        <v>199</v>
      </c>
      <c r="AC8" s="38">
        <v>0.1998987358241758</v>
      </c>
      <c r="AD8" s="26">
        <v>5015.2843704347251</v>
      </c>
      <c r="AG8" s="30" t="s">
        <v>20</v>
      </c>
      <c r="AH8" s="30">
        <v>199</v>
      </c>
      <c r="AI8" s="38">
        <v>0.18585170004317542</v>
      </c>
      <c r="AJ8" s="26">
        <v>4964.1815187770044</v>
      </c>
      <c r="AM8" s="30" t="s">
        <v>20</v>
      </c>
      <c r="AN8" s="30">
        <v>199</v>
      </c>
      <c r="AO8" s="38">
        <v>0.1855173050658781</v>
      </c>
      <c r="AP8" s="26">
        <v>3699.069590810841</v>
      </c>
      <c r="AS8" s="30" t="s">
        <v>20</v>
      </c>
      <c r="AT8" s="30">
        <v>199</v>
      </c>
      <c r="AU8" s="38">
        <v>0.20019405490584835</v>
      </c>
      <c r="AV8" s="26">
        <v>3991.7124739407627</v>
      </c>
      <c r="AY8" s="30" t="s">
        <v>20</v>
      </c>
      <c r="AZ8" s="30">
        <v>199</v>
      </c>
      <c r="BA8" s="38">
        <v>0.17302155921567258</v>
      </c>
      <c r="BB8" s="26">
        <v>3709.3366382493346</v>
      </c>
      <c r="BE8" s="30" t="s">
        <v>20</v>
      </c>
      <c r="BF8" s="30">
        <v>199</v>
      </c>
      <c r="BG8" s="38">
        <v>0.17302155921567258</v>
      </c>
      <c r="BH8" s="26">
        <v>3709.3366382493346</v>
      </c>
      <c r="BM8" s="43" t="s">
        <v>68</v>
      </c>
      <c r="BN8">
        <v>6240</v>
      </c>
      <c r="BQ8" s="43" t="s">
        <v>68</v>
      </c>
      <c r="BR8">
        <v>13440</v>
      </c>
    </row>
    <row r="9" spans="1:70" x14ac:dyDescent="0.35">
      <c r="A9" s="8" t="s">
        <v>22</v>
      </c>
      <c r="B9" s="29">
        <v>80</v>
      </c>
      <c r="C9" s="23">
        <v>27500</v>
      </c>
      <c r="F9" s="8" t="s">
        <v>22</v>
      </c>
      <c r="G9" s="29">
        <v>80</v>
      </c>
      <c r="H9" s="23">
        <v>27794.04999987008</v>
      </c>
      <c r="J9" s="8" t="s">
        <v>22</v>
      </c>
      <c r="K9" s="29">
        <v>80</v>
      </c>
      <c r="L9" s="23">
        <v>27794.04999987008</v>
      </c>
      <c r="O9" s="8" t="s">
        <v>22</v>
      </c>
      <c r="P9" s="29">
        <v>80</v>
      </c>
      <c r="Q9" s="23">
        <v>35172.582161472295</v>
      </c>
      <c r="T9" s="8" t="s">
        <v>22</v>
      </c>
      <c r="U9" s="29">
        <v>80</v>
      </c>
      <c r="V9" s="23">
        <v>35172.582161472295</v>
      </c>
      <c r="AA9" s="39" t="s">
        <v>22</v>
      </c>
      <c r="AB9" s="29">
        <v>80</v>
      </c>
      <c r="AC9" s="38">
        <v>0.22765065133769222</v>
      </c>
      <c r="AD9" s="26">
        <v>6742.0809945033352</v>
      </c>
      <c r="AG9" s="39" t="s">
        <v>22</v>
      </c>
      <c r="AH9" s="29">
        <v>80</v>
      </c>
      <c r="AI9" s="38">
        <v>0.25002095907748118</v>
      </c>
      <c r="AJ9" s="26">
        <v>6875.5763746307321</v>
      </c>
      <c r="AM9" s="39" t="s">
        <v>22</v>
      </c>
      <c r="AN9" s="29">
        <v>80</v>
      </c>
      <c r="AO9" s="38">
        <v>0.20884201077199277</v>
      </c>
      <c r="AP9" s="26">
        <v>5804.5652894701725</v>
      </c>
      <c r="AS9" s="39" t="s">
        <v>22</v>
      </c>
      <c r="AT9" s="29">
        <v>80</v>
      </c>
      <c r="AU9" s="38">
        <v>0.2129337539432177</v>
      </c>
      <c r="AV9" s="26">
        <v>5918.2914037578257</v>
      </c>
      <c r="AY9" s="39" t="s">
        <v>22</v>
      </c>
      <c r="AZ9" s="29">
        <v>80</v>
      </c>
      <c r="BA9" s="38">
        <v>0.1506620398471869</v>
      </c>
      <c r="BB9" s="26">
        <v>5299.1729751401945</v>
      </c>
      <c r="BE9" s="39" t="s">
        <v>22</v>
      </c>
      <c r="BF9" s="29">
        <v>80</v>
      </c>
      <c r="BG9" s="38">
        <v>0.1506620398471869</v>
      </c>
      <c r="BH9" s="26">
        <v>5299.1729751401945</v>
      </c>
      <c r="BM9" s="43" t="s">
        <v>72</v>
      </c>
      <c r="BN9">
        <v>448</v>
      </c>
      <c r="BQ9" s="43" t="s">
        <v>72</v>
      </c>
      <c r="BR9">
        <v>1248</v>
      </c>
    </row>
    <row r="10" spans="1:70" x14ac:dyDescent="0.35">
      <c r="A10" s="6" t="s">
        <v>24</v>
      </c>
      <c r="B10" s="29">
        <v>199</v>
      </c>
      <c r="C10" s="23">
        <v>8300</v>
      </c>
      <c r="F10" s="6" t="s">
        <v>24</v>
      </c>
      <c r="G10" s="29">
        <v>199</v>
      </c>
      <c r="H10" s="23">
        <v>5484.505276679869</v>
      </c>
      <c r="J10" s="6" t="s">
        <v>24</v>
      </c>
      <c r="K10" s="29">
        <v>199</v>
      </c>
      <c r="L10" s="23">
        <v>5484.505276679869</v>
      </c>
      <c r="O10" s="6" t="s">
        <v>24</v>
      </c>
      <c r="P10" s="29">
        <v>199</v>
      </c>
      <c r="Q10" s="23">
        <v>4534.79376572821</v>
      </c>
      <c r="T10" s="6" t="s">
        <v>24</v>
      </c>
      <c r="U10" s="29">
        <v>199</v>
      </c>
      <c r="V10" s="23">
        <v>4534.79376572821</v>
      </c>
      <c r="AA10" s="37" t="s">
        <v>24</v>
      </c>
      <c r="AB10" s="29">
        <v>199</v>
      </c>
      <c r="AC10" s="38">
        <v>0.21935864231526181</v>
      </c>
      <c r="AD10" s="26">
        <v>1467.9480343737321</v>
      </c>
      <c r="AG10" s="37" t="s">
        <v>24</v>
      </c>
      <c r="AH10" s="29">
        <v>199</v>
      </c>
      <c r="AI10" s="38">
        <v>0.22763114709409685</v>
      </c>
      <c r="AJ10" s="26">
        <v>1889.3385208810039</v>
      </c>
      <c r="AM10" s="37" t="s">
        <v>24</v>
      </c>
      <c r="AN10" s="29">
        <v>199</v>
      </c>
      <c r="AO10" s="38">
        <v>0.19102304732436831</v>
      </c>
      <c r="AP10" s="26">
        <v>1047.6669110179664</v>
      </c>
      <c r="AS10" s="37" t="s">
        <v>24</v>
      </c>
      <c r="AT10" s="29">
        <v>199</v>
      </c>
      <c r="AU10" s="38">
        <v>0.18454521019403783</v>
      </c>
      <c r="AV10" s="26">
        <v>1012.139179095196</v>
      </c>
      <c r="AY10" s="37" t="s">
        <v>24</v>
      </c>
      <c r="AZ10" s="29">
        <v>199</v>
      </c>
      <c r="BA10" s="38">
        <v>0.12546990569074384</v>
      </c>
      <c r="BB10" s="26">
        <v>568.98014611289159</v>
      </c>
      <c r="BE10" s="37" t="s">
        <v>24</v>
      </c>
      <c r="BF10" s="29">
        <v>199</v>
      </c>
      <c r="BG10" s="38">
        <v>0.12546990569074384</v>
      </c>
      <c r="BH10" s="26">
        <v>568.98014611289159</v>
      </c>
      <c r="BM10" s="43" t="s">
        <v>53</v>
      </c>
      <c r="BN10">
        <v>280</v>
      </c>
      <c r="BQ10" s="43" t="s">
        <v>53</v>
      </c>
      <c r="BR10">
        <v>336</v>
      </c>
    </row>
    <row r="11" spans="1:70" x14ac:dyDescent="0.35">
      <c r="A11" s="8" t="s">
        <v>26</v>
      </c>
      <c r="B11" s="29">
        <v>75</v>
      </c>
      <c r="C11" s="23">
        <v>3800</v>
      </c>
      <c r="F11" s="8" t="s">
        <v>26</v>
      </c>
      <c r="G11" s="29">
        <v>75</v>
      </c>
      <c r="H11" s="23">
        <v>5004.7972487732613</v>
      </c>
      <c r="J11" s="8" t="s">
        <v>26</v>
      </c>
      <c r="K11" s="29">
        <v>75</v>
      </c>
      <c r="L11" s="23">
        <v>5004.7972487732613</v>
      </c>
      <c r="O11" s="8" t="s">
        <v>26</v>
      </c>
      <c r="P11" s="29">
        <v>75</v>
      </c>
      <c r="Q11" s="23">
        <v>775</v>
      </c>
      <c r="T11" s="8" t="s">
        <v>26</v>
      </c>
      <c r="U11" s="29">
        <v>75</v>
      </c>
      <c r="V11" s="23">
        <v>775</v>
      </c>
      <c r="AA11" s="39" t="s">
        <v>26</v>
      </c>
      <c r="AB11" s="29">
        <v>75</v>
      </c>
      <c r="AC11" s="38">
        <v>0.14889242605120043</v>
      </c>
      <c r="AD11" s="26">
        <v>595.56970420480172</v>
      </c>
      <c r="AG11" s="39" t="s">
        <v>26</v>
      </c>
      <c r="AH11" s="29">
        <v>75</v>
      </c>
      <c r="AI11" s="38">
        <v>8.6924049178444207E-2</v>
      </c>
      <c r="AJ11" s="26">
        <v>330.311386878088</v>
      </c>
      <c r="AM11" s="39" t="s">
        <v>26</v>
      </c>
      <c r="AN11" s="29">
        <v>75</v>
      </c>
      <c r="AO11" s="38">
        <v>6.5907241659886012E-2</v>
      </c>
      <c r="AP11" s="26">
        <v>329.852381733632</v>
      </c>
      <c r="AS11" s="39" t="s">
        <v>26</v>
      </c>
      <c r="AT11" s="29">
        <v>75</v>
      </c>
      <c r="AU11" s="38">
        <v>0.13941633745380408</v>
      </c>
      <c r="AV11" s="26">
        <v>697.75050212284327</v>
      </c>
      <c r="AY11" s="39" t="s">
        <v>26</v>
      </c>
      <c r="AZ11" s="29">
        <v>75</v>
      </c>
      <c r="BA11" s="38">
        <v>8.8264275263508871E-2</v>
      </c>
      <c r="BB11" s="26">
        <v>68.40481332921938</v>
      </c>
      <c r="BE11" s="39" t="s">
        <v>26</v>
      </c>
      <c r="BF11" s="29">
        <v>75</v>
      </c>
      <c r="BG11" s="38">
        <v>8.8264275263508871E-2</v>
      </c>
      <c r="BH11" s="26">
        <v>68.40481332921938</v>
      </c>
      <c r="BM11" s="43" t="s">
        <v>51</v>
      </c>
      <c r="BN11">
        <v>4032</v>
      </c>
      <c r="BQ11" s="43" t="s">
        <v>51</v>
      </c>
      <c r="BR11">
        <v>11088</v>
      </c>
    </row>
    <row r="12" spans="1:70" x14ac:dyDescent="0.35">
      <c r="A12" s="6" t="s">
        <v>28</v>
      </c>
      <c r="B12" s="29">
        <v>229</v>
      </c>
      <c r="C12" s="23">
        <v>41160.703437072618</v>
      </c>
      <c r="F12" s="6" t="s">
        <v>28</v>
      </c>
      <c r="G12" s="29">
        <v>229</v>
      </c>
      <c r="H12" s="23">
        <v>33641.920311088717</v>
      </c>
      <c r="J12" s="6" t="s">
        <v>28</v>
      </c>
      <c r="K12" s="29">
        <v>229</v>
      </c>
      <c r="L12" s="23">
        <v>33641.920311088717</v>
      </c>
      <c r="O12" s="6" t="s">
        <v>28</v>
      </c>
      <c r="P12" s="29">
        <v>229</v>
      </c>
      <c r="Q12" s="23">
        <v>27295.806219045851</v>
      </c>
      <c r="T12" s="6" t="s">
        <v>28</v>
      </c>
      <c r="U12" s="29">
        <v>229</v>
      </c>
      <c r="V12" s="23">
        <v>27295.806219045851</v>
      </c>
      <c r="AA12" s="37" t="s">
        <v>28</v>
      </c>
      <c r="AB12" s="29">
        <v>229</v>
      </c>
      <c r="AC12" s="38">
        <v>0.2529032914062978</v>
      </c>
      <c r="AD12" s="26">
        <v>10267.083308310046</v>
      </c>
      <c r="AG12" s="37" t="s">
        <v>28</v>
      </c>
      <c r="AH12" s="29">
        <v>229</v>
      </c>
      <c r="AI12" s="38">
        <v>0.25499435501984263</v>
      </c>
      <c r="AJ12" s="26">
        <v>10495.747025099352</v>
      </c>
      <c r="AM12" s="37" t="s">
        <v>28</v>
      </c>
      <c r="AN12" s="29">
        <v>229</v>
      </c>
      <c r="AO12" s="38">
        <v>0.21607594763553239</v>
      </c>
      <c r="AP12" s="26">
        <v>7269.2098114975597</v>
      </c>
      <c r="AS12" s="39" t="s">
        <v>28</v>
      </c>
      <c r="AT12" s="29">
        <v>229</v>
      </c>
      <c r="AU12" s="38">
        <v>0.20399843364731926</v>
      </c>
      <c r="AV12" s="26">
        <v>6862.8990483500338</v>
      </c>
      <c r="AY12" s="37" t="s">
        <v>28</v>
      </c>
      <c r="AZ12" s="29">
        <v>229</v>
      </c>
      <c r="BA12" s="38">
        <v>0.12089819639024822</v>
      </c>
      <c r="BB12" s="26">
        <v>3300.0137409003642</v>
      </c>
      <c r="BE12" s="37" t="s">
        <v>28</v>
      </c>
      <c r="BF12" s="29">
        <v>229</v>
      </c>
      <c r="BG12" s="38">
        <v>0.12089819639024822</v>
      </c>
      <c r="BH12" s="26">
        <v>3300.0137409003642</v>
      </c>
      <c r="BM12" s="43" t="s">
        <v>55</v>
      </c>
      <c r="BN12">
        <v>1674</v>
      </c>
      <c r="BQ12" s="43" t="s">
        <v>55</v>
      </c>
      <c r="BR12">
        <v>2214</v>
      </c>
    </row>
    <row r="13" spans="1:70" x14ac:dyDescent="0.35">
      <c r="A13" s="6" t="s">
        <v>30</v>
      </c>
      <c r="B13" s="29">
        <v>259</v>
      </c>
      <c r="C13" s="23">
        <v>4500</v>
      </c>
      <c r="F13" s="6" t="s">
        <v>30</v>
      </c>
      <c r="G13" s="29">
        <v>259</v>
      </c>
      <c r="H13" s="23">
        <v>3250</v>
      </c>
      <c r="J13" s="6" t="s">
        <v>30</v>
      </c>
      <c r="K13" s="29">
        <v>259</v>
      </c>
      <c r="L13" s="23">
        <v>3250</v>
      </c>
      <c r="O13" s="8" t="s">
        <v>34</v>
      </c>
      <c r="P13" s="29">
        <v>109</v>
      </c>
      <c r="Q13" s="23">
        <v>4937.2165944862427</v>
      </c>
      <c r="T13" s="8" t="s">
        <v>34</v>
      </c>
      <c r="U13" s="29">
        <v>109</v>
      </c>
      <c r="V13" s="23">
        <v>4937.2165944862427</v>
      </c>
      <c r="AA13" s="39" t="s">
        <v>30</v>
      </c>
      <c r="AB13" s="29">
        <v>259</v>
      </c>
      <c r="AC13" s="38">
        <v>0.24170023190528492</v>
      </c>
      <c r="AD13" s="26">
        <v>1202.4586537287926</v>
      </c>
      <c r="AG13" s="39" t="s">
        <v>30</v>
      </c>
      <c r="AH13" s="29">
        <v>259</v>
      </c>
      <c r="AI13" s="38">
        <v>0.27821860741916365</v>
      </c>
      <c r="AJ13" s="26">
        <v>1251.9837333862365</v>
      </c>
      <c r="AM13" s="39" t="s">
        <v>30</v>
      </c>
      <c r="AN13" s="29">
        <v>259</v>
      </c>
      <c r="AO13" s="38">
        <v>0.171806167400881</v>
      </c>
      <c r="AP13" s="26">
        <v>558.37004405286325</v>
      </c>
      <c r="AS13" s="39" t="s">
        <v>30</v>
      </c>
      <c r="AT13" s="29">
        <v>259</v>
      </c>
      <c r="AU13" s="38">
        <v>0.15789473684210523</v>
      </c>
      <c r="AV13" s="26">
        <v>513.15789473684197</v>
      </c>
      <c r="AY13" s="39" t="s">
        <v>34</v>
      </c>
      <c r="AZ13" s="29">
        <v>109</v>
      </c>
      <c r="BA13" s="38">
        <v>0.14483321883528563</v>
      </c>
      <c r="BB13" s="26">
        <v>715.07297146642964</v>
      </c>
      <c r="BE13" s="39" t="s">
        <v>34</v>
      </c>
      <c r="BF13" s="29">
        <v>109</v>
      </c>
      <c r="BG13" s="38">
        <v>0.14483321883528563</v>
      </c>
      <c r="BH13" s="26">
        <v>715.07297146642964</v>
      </c>
      <c r="BM13" s="43" t="s">
        <v>61</v>
      </c>
      <c r="BN13">
        <v>1080</v>
      </c>
      <c r="BQ13" s="43" t="s">
        <v>61</v>
      </c>
      <c r="BR13">
        <v>1872</v>
      </c>
    </row>
    <row r="14" spans="1:70" x14ac:dyDescent="0.35">
      <c r="A14" s="6" t="s">
        <v>32</v>
      </c>
      <c r="B14" s="29">
        <v>259</v>
      </c>
      <c r="C14" s="23">
        <v>4000</v>
      </c>
      <c r="F14" s="6" t="s">
        <v>32</v>
      </c>
      <c r="G14" s="29">
        <v>259</v>
      </c>
      <c r="H14" s="23">
        <v>2800</v>
      </c>
      <c r="J14" s="6" t="s">
        <v>32</v>
      </c>
      <c r="K14" s="29">
        <v>259</v>
      </c>
      <c r="L14" s="23">
        <v>2800</v>
      </c>
      <c r="O14" s="8" t="s">
        <v>36</v>
      </c>
      <c r="P14" s="29">
        <v>109</v>
      </c>
      <c r="Q14" s="23">
        <v>3945.215555879503</v>
      </c>
      <c r="T14" s="8" t="s">
        <v>36</v>
      </c>
      <c r="U14" s="29">
        <v>109</v>
      </c>
      <c r="V14" s="23">
        <v>3945.215555879503</v>
      </c>
      <c r="AA14" s="39" t="s">
        <v>32</v>
      </c>
      <c r="AB14" s="29">
        <v>259</v>
      </c>
      <c r="AC14" s="38">
        <v>0.26735838874237589</v>
      </c>
      <c r="AD14" s="26">
        <v>1236.5325479334886</v>
      </c>
      <c r="AG14" s="39" t="s">
        <v>32</v>
      </c>
      <c r="AH14" s="29">
        <v>259</v>
      </c>
      <c r="AI14" s="38">
        <v>0.26595056296104608</v>
      </c>
      <c r="AJ14" s="26">
        <v>1063.8022518441844</v>
      </c>
      <c r="AM14" s="39" t="s">
        <v>32</v>
      </c>
      <c r="AN14" s="29">
        <v>259</v>
      </c>
      <c r="AO14" s="38">
        <v>0.19537275064267348</v>
      </c>
      <c r="AP14" s="26">
        <v>547.0437017994858</v>
      </c>
      <c r="AS14" s="39" t="s">
        <v>32</v>
      </c>
      <c r="AT14" s="29">
        <v>259</v>
      </c>
      <c r="AU14" s="38">
        <v>0.16666666666666663</v>
      </c>
      <c r="AV14" s="26">
        <v>466.66666666666657</v>
      </c>
      <c r="AY14" s="39" t="s">
        <v>36</v>
      </c>
      <c r="AZ14" s="29">
        <v>109</v>
      </c>
      <c r="BA14" s="38">
        <v>0.18398565180944459</v>
      </c>
      <c r="BB14" s="26">
        <v>725.86305557725063</v>
      </c>
      <c r="BE14" s="39" t="s">
        <v>36</v>
      </c>
      <c r="BF14" s="29">
        <v>109</v>
      </c>
      <c r="BG14" s="38">
        <v>0.18398565180944459</v>
      </c>
      <c r="BH14" s="26">
        <v>725.86305557725063</v>
      </c>
      <c r="BM14" s="43" t="s">
        <v>57</v>
      </c>
      <c r="BN14">
        <v>486</v>
      </c>
      <c r="BQ14" s="43" t="s">
        <v>57</v>
      </c>
      <c r="BR14">
        <v>1026</v>
      </c>
    </row>
    <row r="15" spans="1:70" x14ac:dyDescent="0.35">
      <c r="A15" s="8" t="s">
        <v>34</v>
      </c>
      <c r="B15" s="29">
        <v>109</v>
      </c>
      <c r="C15" s="23">
        <v>11700</v>
      </c>
      <c r="F15" s="8" t="s">
        <v>34</v>
      </c>
      <c r="G15" s="29">
        <v>109</v>
      </c>
      <c r="H15" s="23">
        <v>9800</v>
      </c>
      <c r="J15" s="8" t="s">
        <v>34</v>
      </c>
      <c r="K15" s="29">
        <v>109</v>
      </c>
      <c r="L15" s="23">
        <v>9800</v>
      </c>
      <c r="O15" s="6" t="s">
        <v>38</v>
      </c>
      <c r="P15" s="29">
        <v>130</v>
      </c>
      <c r="Q15" s="23">
        <v>14235.667430925721</v>
      </c>
      <c r="T15" s="6" t="s">
        <v>38</v>
      </c>
      <c r="U15" s="29">
        <v>130</v>
      </c>
      <c r="V15" s="23">
        <v>14235.667430925721</v>
      </c>
      <c r="AA15" s="39" t="s">
        <v>34</v>
      </c>
      <c r="AB15" s="29">
        <v>109</v>
      </c>
      <c r="AC15" s="38">
        <v>0.25248228628207092</v>
      </c>
      <c r="AD15" s="26">
        <v>1687.7956817937172</v>
      </c>
      <c r="AG15" s="39" t="s">
        <v>34</v>
      </c>
      <c r="AH15" s="29">
        <v>109</v>
      </c>
      <c r="AI15" s="38">
        <v>0.33258804867291059</v>
      </c>
      <c r="AJ15" s="26">
        <v>3891.2801694730538</v>
      </c>
      <c r="AM15" s="39" t="s">
        <v>34</v>
      </c>
      <c r="AN15" s="29">
        <v>109</v>
      </c>
      <c r="AO15" s="38">
        <v>0.27887841277186487</v>
      </c>
      <c r="AP15" s="26">
        <v>2733.0084451642756</v>
      </c>
      <c r="AS15" s="39" t="s">
        <v>34</v>
      </c>
      <c r="AT15" s="29">
        <v>109</v>
      </c>
      <c r="AU15" s="38">
        <v>0.25993360507943908</v>
      </c>
      <c r="AV15" s="26">
        <v>2547.349329778503</v>
      </c>
      <c r="AY15" s="37" t="s">
        <v>38</v>
      </c>
      <c r="AZ15" s="29">
        <v>130</v>
      </c>
      <c r="BA15" s="38">
        <v>0.14147634044838014</v>
      </c>
      <c r="BB15" s="26">
        <v>2014.0101319675646</v>
      </c>
      <c r="BE15" s="37" t="s">
        <v>38</v>
      </c>
      <c r="BF15" s="29">
        <v>130</v>
      </c>
      <c r="BG15" s="38">
        <v>0.14147634044838014</v>
      </c>
      <c r="BH15" s="26">
        <v>2014.0101319675646</v>
      </c>
      <c r="BM15" s="43" t="s">
        <v>112</v>
      </c>
      <c r="BN15">
        <v>270</v>
      </c>
      <c r="BQ15" s="43" t="s">
        <v>112</v>
      </c>
      <c r="BR15">
        <v>149</v>
      </c>
    </row>
    <row r="16" spans="1:70" x14ac:dyDescent="0.35">
      <c r="A16" s="8" t="s">
        <v>36</v>
      </c>
      <c r="B16" s="29">
        <v>109</v>
      </c>
      <c r="C16" s="23">
        <v>7700</v>
      </c>
      <c r="F16" s="8" t="s">
        <v>36</v>
      </c>
      <c r="G16" s="29">
        <v>109</v>
      </c>
      <c r="H16" s="23">
        <v>8000</v>
      </c>
      <c r="J16" s="8" t="s">
        <v>36</v>
      </c>
      <c r="K16" s="29">
        <v>109</v>
      </c>
      <c r="L16" s="23">
        <v>8000</v>
      </c>
      <c r="O16" s="6" t="s">
        <v>40</v>
      </c>
      <c r="P16" s="29">
        <v>399</v>
      </c>
      <c r="Q16" s="23">
        <v>674.4767971462104</v>
      </c>
      <c r="T16" s="6" t="s">
        <v>40</v>
      </c>
      <c r="U16" s="29">
        <v>399</v>
      </c>
      <c r="V16" s="23">
        <v>674.4767971462104</v>
      </c>
      <c r="AA16" s="39" t="s">
        <v>36</v>
      </c>
      <c r="AB16" s="29">
        <v>109</v>
      </c>
      <c r="AC16" s="38">
        <v>0.26897125014559209</v>
      </c>
      <c r="AD16" s="26">
        <v>1237.2677506697237</v>
      </c>
      <c r="AG16" s="39" t="s">
        <v>36</v>
      </c>
      <c r="AH16" s="29">
        <v>109</v>
      </c>
      <c r="AI16" s="38">
        <v>0.34322711507256443</v>
      </c>
      <c r="AJ16" s="26">
        <v>2642.8487860587461</v>
      </c>
      <c r="AM16" s="39" t="s">
        <v>36</v>
      </c>
      <c r="AN16" s="29">
        <v>109</v>
      </c>
      <c r="AO16" s="38">
        <v>0.35760412603475916</v>
      </c>
      <c r="AP16" s="26">
        <v>2860.8330082780735</v>
      </c>
      <c r="AS16" s="39" t="s">
        <v>36</v>
      </c>
      <c r="AT16" s="29">
        <v>109</v>
      </c>
      <c r="AU16" s="38">
        <v>0.2428250578254994</v>
      </c>
      <c r="AV16" s="26">
        <v>1942.6004626039953</v>
      </c>
      <c r="AY16" s="37" t="s">
        <v>40</v>
      </c>
      <c r="AZ16" s="29">
        <v>399</v>
      </c>
      <c r="BA16" s="38">
        <v>0.20658046618102102</v>
      </c>
      <c r="BB16" s="26">
        <v>139.33373118274611</v>
      </c>
      <c r="BE16" s="37" t="s">
        <v>40</v>
      </c>
      <c r="BF16" s="29">
        <v>399</v>
      </c>
      <c r="BG16" s="38">
        <v>0.20658046618102102</v>
      </c>
      <c r="BH16" s="26">
        <v>139.33373118274611</v>
      </c>
      <c r="BM16" s="43" t="s">
        <v>63</v>
      </c>
      <c r="BN16">
        <v>336</v>
      </c>
      <c r="BQ16" s="43" t="s">
        <v>63</v>
      </c>
      <c r="BR16">
        <v>336</v>
      </c>
    </row>
    <row r="17" spans="1:70" x14ac:dyDescent="0.35">
      <c r="A17" s="6" t="s">
        <v>38</v>
      </c>
      <c r="B17" s="29">
        <v>130</v>
      </c>
      <c r="C17" s="23">
        <v>20200</v>
      </c>
      <c r="F17" s="6" t="s">
        <v>38</v>
      </c>
      <c r="G17" s="29">
        <v>130</v>
      </c>
      <c r="H17" s="23">
        <v>14521.916004518815</v>
      </c>
      <c r="J17" s="6" t="s">
        <v>38</v>
      </c>
      <c r="K17" s="29">
        <v>130</v>
      </c>
      <c r="L17" s="23">
        <v>14521.916004518815</v>
      </c>
      <c r="O17" s="8" t="s">
        <v>42</v>
      </c>
      <c r="P17" s="29">
        <v>245</v>
      </c>
      <c r="Q17" s="23">
        <v>3888.8818884253801</v>
      </c>
      <c r="T17" s="8" t="s">
        <v>42</v>
      </c>
      <c r="U17" s="29">
        <v>245</v>
      </c>
      <c r="V17" s="23">
        <v>3888.8818884253801</v>
      </c>
      <c r="AA17" s="37" t="s">
        <v>38</v>
      </c>
      <c r="AB17" s="29">
        <v>130</v>
      </c>
      <c r="AC17" s="38">
        <v>0.2387854115041437</v>
      </c>
      <c r="AD17" s="26">
        <v>6045.9735012688125</v>
      </c>
      <c r="AG17" s="37" t="s">
        <v>38</v>
      </c>
      <c r="AH17" s="29">
        <v>130</v>
      </c>
      <c r="AI17" s="38">
        <v>0.25105655780983432</v>
      </c>
      <c r="AJ17" s="26">
        <v>5071.3424677586536</v>
      </c>
      <c r="AM17" s="37" t="s">
        <v>38</v>
      </c>
      <c r="AN17" s="29">
        <v>130</v>
      </c>
      <c r="AO17" s="38">
        <v>0.15833970409677292</v>
      </c>
      <c r="AP17" s="26">
        <v>2299.3958830737001</v>
      </c>
      <c r="AS17" s="37" t="s">
        <v>38</v>
      </c>
      <c r="AT17" s="29">
        <v>130</v>
      </c>
      <c r="AU17" s="38">
        <v>0.18405402003469687</v>
      </c>
      <c r="AV17" s="26">
        <v>2672.8170192378911</v>
      </c>
      <c r="AY17" s="39" t="s">
        <v>42</v>
      </c>
      <c r="AZ17" s="29">
        <v>245</v>
      </c>
      <c r="BA17" s="38">
        <v>0.19524292095476101</v>
      </c>
      <c r="BB17" s="26">
        <v>759.27665914423824</v>
      </c>
      <c r="BE17" s="39" t="s">
        <v>42</v>
      </c>
      <c r="BF17" s="29">
        <v>245</v>
      </c>
      <c r="BG17" s="38">
        <v>0.19524292095476101</v>
      </c>
      <c r="BH17" s="26">
        <v>759.27665914423824</v>
      </c>
      <c r="BM17" s="43" t="s">
        <v>65</v>
      </c>
      <c r="BN17">
        <v>96</v>
      </c>
      <c r="BQ17" s="43" t="s">
        <v>65</v>
      </c>
      <c r="BR17">
        <v>24</v>
      </c>
    </row>
    <row r="18" spans="1:70" x14ac:dyDescent="0.35">
      <c r="A18" s="6" t="s">
        <v>40</v>
      </c>
      <c r="B18" s="29">
        <v>399</v>
      </c>
      <c r="C18" s="23">
        <v>2400</v>
      </c>
      <c r="F18" s="6" t="s">
        <v>40</v>
      </c>
      <c r="G18" s="29">
        <v>399</v>
      </c>
      <c r="H18" s="23">
        <v>1500</v>
      </c>
      <c r="J18" s="6" t="s">
        <v>40</v>
      </c>
      <c r="K18" s="29">
        <v>399</v>
      </c>
      <c r="L18" s="23">
        <v>1500</v>
      </c>
      <c r="O18" s="4"/>
      <c r="P18" s="18"/>
      <c r="Q18" s="24"/>
      <c r="T18" s="4"/>
      <c r="U18" s="18"/>
      <c r="V18" s="24"/>
      <c r="AA18" s="37" t="s">
        <v>40</v>
      </c>
      <c r="AB18" s="29">
        <v>399</v>
      </c>
      <c r="AC18" s="38">
        <v>0.19019455252918285</v>
      </c>
      <c r="AD18" s="26">
        <v>368.97743190661475</v>
      </c>
      <c r="AG18" s="37" t="s">
        <v>40</v>
      </c>
      <c r="AH18" s="29">
        <v>399</v>
      </c>
      <c r="AI18" s="38">
        <v>0.35376618901300894</v>
      </c>
      <c r="AJ18" s="26">
        <v>849.0388536312214</v>
      </c>
      <c r="AM18" s="37" t="s">
        <v>40</v>
      </c>
      <c r="AN18" s="29">
        <v>399</v>
      </c>
      <c r="AO18" s="38">
        <v>0.16642958748221903</v>
      </c>
      <c r="AP18" s="26">
        <v>249.64438122332854</v>
      </c>
      <c r="AS18" s="37" t="s">
        <v>40</v>
      </c>
      <c r="AT18" s="29">
        <v>399</v>
      </c>
      <c r="AU18" s="38">
        <v>0.17136490373004898</v>
      </c>
      <c r="AV18" s="26">
        <v>257.04735559507344</v>
      </c>
      <c r="AY18" s="36"/>
      <c r="AZ18" s="18"/>
      <c r="BA18" s="18"/>
      <c r="BB18" s="24"/>
      <c r="BE18" s="36"/>
      <c r="BF18" s="18"/>
      <c r="BG18" s="18"/>
      <c r="BH18" s="24"/>
      <c r="BM18" s="43" t="s">
        <v>45</v>
      </c>
      <c r="BN18">
        <v>2592</v>
      </c>
      <c r="BQ18" s="43" t="s">
        <v>45</v>
      </c>
      <c r="BR18">
        <v>5952</v>
      </c>
    </row>
    <row r="19" spans="1:70" x14ac:dyDescent="0.35">
      <c r="A19" s="8" t="s">
        <v>42</v>
      </c>
      <c r="B19" s="29">
        <v>245</v>
      </c>
      <c r="C19" s="23">
        <v>6400</v>
      </c>
      <c r="F19" s="8" t="s">
        <v>42</v>
      </c>
      <c r="G19" s="29">
        <v>245</v>
      </c>
      <c r="H19" s="23">
        <v>4449.1619038501449</v>
      </c>
      <c r="J19" s="8" t="s">
        <v>42</v>
      </c>
      <c r="K19" s="29">
        <v>245</v>
      </c>
      <c r="L19" s="23">
        <v>4449.1619038501449</v>
      </c>
      <c r="O19" s="6" t="s">
        <v>45</v>
      </c>
      <c r="P19" s="29">
        <v>35</v>
      </c>
      <c r="Q19" s="23">
        <v>43854.272059975767</v>
      </c>
      <c r="T19" s="6" t="s">
        <v>45</v>
      </c>
      <c r="U19" s="29">
        <v>35</v>
      </c>
      <c r="V19" s="23">
        <v>43854.272059975767</v>
      </c>
      <c r="AA19" s="39" t="s">
        <v>42</v>
      </c>
      <c r="AB19" s="29">
        <v>245</v>
      </c>
      <c r="AC19" s="38">
        <v>0.26704500770497902</v>
      </c>
      <c r="AD19" s="26">
        <v>1956.4688337222053</v>
      </c>
      <c r="AG19" s="39" t="s">
        <v>42</v>
      </c>
      <c r="AH19" s="29">
        <v>245</v>
      </c>
      <c r="AI19" s="38">
        <v>0.34919011439252007</v>
      </c>
      <c r="AJ19" s="26">
        <v>2234.8167321121286</v>
      </c>
      <c r="AM19" s="39" t="s">
        <v>42</v>
      </c>
      <c r="AN19" s="29">
        <v>245</v>
      </c>
      <c r="AO19" s="38">
        <v>0.25933007035790773</v>
      </c>
      <c r="AP19" s="26">
        <v>1153.8014695591808</v>
      </c>
      <c r="AS19" s="39" t="s">
        <v>42</v>
      </c>
      <c r="AT19" s="29">
        <v>245</v>
      </c>
      <c r="AU19" s="38">
        <v>0.26576892229717908</v>
      </c>
      <c r="AV19" s="26">
        <v>1182.4489643119184</v>
      </c>
      <c r="AY19" s="37" t="s">
        <v>45</v>
      </c>
      <c r="AZ19" s="29">
        <v>35</v>
      </c>
      <c r="BA19" s="38">
        <v>0.22152250942975535</v>
      </c>
      <c r="BB19" s="26">
        <v>9714.7083959410375</v>
      </c>
      <c r="BE19" s="37" t="s">
        <v>45</v>
      </c>
      <c r="BF19" s="29">
        <v>35</v>
      </c>
      <c r="BG19" s="38">
        <v>0.22152250942975535</v>
      </c>
      <c r="BH19" s="26">
        <v>9714.7083959410375</v>
      </c>
      <c r="BM19" s="43" t="s">
        <v>49</v>
      </c>
      <c r="BN19">
        <v>1344</v>
      </c>
      <c r="BQ19" s="43" t="s">
        <v>49</v>
      </c>
      <c r="BR19">
        <v>4704</v>
      </c>
    </row>
    <row r="20" spans="1:70" x14ac:dyDescent="0.35">
      <c r="A20" s="4"/>
      <c r="B20" s="18"/>
      <c r="C20" s="24"/>
      <c r="F20" s="4"/>
      <c r="G20" s="18"/>
      <c r="H20" s="24"/>
      <c r="J20" s="4"/>
      <c r="K20" s="18"/>
      <c r="L20" s="24"/>
      <c r="O20" s="6" t="s">
        <v>47</v>
      </c>
      <c r="P20" s="29">
        <v>199</v>
      </c>
      <c r="Q20" s="23">
        <v>1000</v>
      </c>
      <c r="T20" s="6" t="s">
        <v>47</v>
      </c>
      <c r="U20" s="29">
        <v>199</v>
      </c>
      <c r="V20" s="23">
        <v>1000</v>
      </c>
      <c r="AA20" s="36"/>
      <c r="AB20" s="18"/>
      <c r="AC20" s="18"/>
      <c r="AD20" s="24"/>
      <c r="AG20" s="36"/>
      <c r="AH20" s="18"/>
      <c r="AI20" s="18"/>
      <c r="AJ20" s="24"/>
      <c r="AM20" s="36"/>
      <c r="AN20" s="18"/>
      <c r="AO20" s="18"/>
      <c r="AP20" s="24"/>
      <c r="AS20" s="36"/>
      <c r="AT20" s="18"/>
      <c r="AU20" s="18"/>
      <c r="AV20" s="24"/>
      <c r="AY20" s="37" t="s">
        <v>47</v>
      </c>
      <c r="AZ20" s="29">
        <v>199</v>
      </c>
      <c r="BA20" s="38">
        <v>0.1</v>
      </c>
      <c r="BB20" s="26">
        <v>100</v>
      </c>
      <c r="BE20" s="37" t="s">
        <v>47</v>
      </c>
      <c r="BF20" s="29">
        <v>199</v>
      </c>
      <c r="BG20" s="38">
        <v>0.1</v>
      </c>
      <c r="BH20" s="26">
        <v>100</v>
      </c>
      <c r="BM20" s="43" t="s">
        <v>59</v>
      </c>
      <c r="BN20">
        <v>576</v>
      </c>
      <c r="BQ20" s="43" t="s">
        <v>59</v>
      </c>
      <c r="BR20">
        <v>1008</v>
      </c>
    </row>
    <row r="21" spans="1:70" x14ac:dyDescent="0.35">
      <c r="A21" s="6" t="s">
        <v>45</v>
      </c>
      <c r="B21" s="29">
        <v>35</v>
      </c>
      <c r="C21" s="23">
        <v>41500</v>
      </c>
      <c r="F21" s="6" t="s">
        <v>45</v>
      </c>
      <c r="G21" s="29">
        <v>35</v>
      </c>
      <c r="H21" s="23">
        <v>39377.762132179334</v>
      </c>
      <c r="J21" s="6" t="s">
        <v>45</v>
      </c>
      <c r="K21" s="29">
        <v>35</v>
      </c>
      <c r="L21" s="23">
        <v>39377.762132179334</v>
      </c>
      <c r="O21" s="6" t="s">
        <v>49</v>
      </c>
      <c r="P21" s="29">
        <v>35</v>
      </c>
      <c r="Q21" s="23">
        <v>23446.594304698723</v>
      </c>
      <c r="T21" s="6" t="s">
        <v>49</v>
      </c>
      <c r="U21" s="29">
        <v>35</v>
      </c>
      <c r="V21" s="23">
        <v>23446.594304698723</v>
      </c>
      <c r="AA21" s="37" t="s">
        <v>45</v>
      </c>
      <c r="AB21" s="29">
        <v>35</v>
      </c>
      <c r="AC21" s="38">
        <v>0.2015283974629544</v>
      </c>
      <c r="AD21" s="26">
        <v>7666.7185383704618</v>
      </c>
      <c r="AG21" s="37" t="s">
        <v>45</v>
      </c>
      <c r="AH21" s="29">
        <v>35</v>
      </c>
      <c r="AI21" s="38">
        <v>0.25627467657290559</v>
      </c>
      <c r="AJ21" s="26">
        <v>10635.399077775583</v>
      </c>
      <c r="AM21" s="37" t="s">
        <v>45</v>
      </c>
      <c r="AN21" s="29">
        <v>35</v>
      </c>
      <c r="AO21" s="38">
        <v>0.24757222123492031</v>
      </c>
      <c r="AP21" s="26">
        <v>9748.8400383239696</v>
      </c>
      <c r="AS21" s="37" t="s">
        <v>45</v>
      </c>
      <c r="AT21" s="29">
        <v>35</v>
      </c>
      <c r="AU21" s="38">
        <v>0.24461908958138098</v>
      </c>
      <c r="AV21" s="26">
        <v>9632.5523225258876</v>
      </c>
      <c r="AY21" s="37" t="s">
        <v>49</v>
      </c>
      <c r="AZ21" s="29">
        <v>35</v>
      </c>
      <c r="BA21" s="38">
        <v>0.16652467451885264</v>
      </c>
      <c r="BB21" s="26">
        <v>3904.4364851655387</v>
      </c>
      <c r="BE21" s="37" t="s">
        <v>49</v>
      </c>
      <c r="BF21" s="29">
        <v>35</v>
      </c>
      <c r="BG21" s="38">
        <v>0.16652467451885264</v>
      </c>
      <c r="BH21" s="26">
        <v>3904.4364851655387</v>
      </c>
      <c r="BM21" s="43" t="s">
        <v>76</v>
      </c>
      <c r="BN21">
        <v>120</v>
      </c>
      <c r="BQ21" s="43" t="s">
        <v>76</v>
      </c>
      <c r="BR21">
        <v>190</v>
      </c>
    </row>
    <row r="22" spans="1:70" x14ac:dyDescent="0.35">
      <c r="A22" s="6" t="s">
        <v>47</v>
      </c>
      <c r="B22" s="29">
        <v>199</v>
      </c>
      <c r="C22" s="23">
        <v>1500</v>
      </c>
      <c r="F22" s="6" t="s">
        <v>47</v>
      </c>
      <c r="G22" s="29">
        <v>199</v>
      </c>
      <c r="H22" s="23">
        <v>1000</v>
      </c>
      <c r="J22" s="6" t="s">
        <v>47</v>
      </c>
      <c r="K22" s="29">
        <v>199</v>
      </c>
      <c r="L22" s="23">
        <v>1000</v>
      </c>
      <c r="O22" s="6" t="s">
        <v>51</v>
      </c>
      <c r="P22" s="29">
        <v>45</v>
      </c>
      <c r="Q22" s="23">
        <v>92890.700154236532</v>
      </c>
      <c r="T22" s="6" t="s">
        <v>51</v>
      </c>
      <c r="U22" s="29">
        <v>45</v>
      </c>
      <c r="V22" s="23">
        <v>92890.700154236532</v>
      </c>
      <c r="AA22" s="37" t="s">
        <v>47</v>
      </c>
      <c r="AB22" s="29">
        <v>199</v>
      </c>
      <c r="AC22" s="38">
        <v>0.18256130790190761</v>
      </c>
      <c r="AD22" s="26">
        <v>273.8419618528614</v>
      </c>
      <c r="AG22" s="37" t="s">
        <v>47</v>
      </c>
      <c r="AH22" s="29">
        <v>199</v>
      </c>
      <c r="AI22" s="38">
        <v>0.25333333333333335</v>
      </c>
      <c r="AJ22" s="26">
        <v>380.00000000000006</v>
      </c>
      <c r="AM22" s="37" t="s">
        <v>47</v>
      </c>
      <c r="AN22" s="29">
        <v>199</v>
      </c>
      <c r="AO22" s="38">
        <v>0.14644351464435162</v>
      </c>
      <c r="AP22" s="26">
        <v>146.44351464435164</v>
      </c>
      <c r="AS22" s="37" t="s">
        <v>47</v>
      </c>
      <c r="AT22" s="29">
        <v>199</v>
      </c>
      <c r="AU22" s="38">
        <v>0.15</v>
      </c>
      <c r="AV22" s="26">
        <v>150</v>
      </c>
      <c r="AY22" s="37" t="s">
        <v>51</v>
      </c>
      <c r="AZ22" s="29">
        <v>45</v>
      </c>
      <c r="BA22" s="38">
        <v>0.12707390947472078</v>
      </c>
      <c r="BB22" s="26">
        <v>11803.984422442883</v>
      </c>
      <c r="BE22" s="37" t="s">
        <v>51</v>
      </c>
      <c r="BF22" s="29">
        <v>45</v>
      </c>
      <c r="BG22" s="38">
        <v>0.12707390947472078</v>
      </c>
      <c r="BH22" s="26">
        <v>11803.984422442883</v>
      </c>
      <c r="BM22" s="43" t="s">
        <v>82</v>
      </c>
      <c r="BN22">
        <v>160</v>
      </c>
      <c r="BQ22" s="43" t="s">
        <v>82</v>
      </c>
      <c r="BR22">
        <v>120</v>
      </c>
    </row>
    <row r="23" spans="1:70" x14ac:dyDescent="0.35">
      <c r="A23" s="6" t="s">
        <v>49</v>
      </c>
      <c r="B23" s="29">
        <v>35</v>
      </c>
      <c r="C23" s="23">
        <v>30500</v>
      </c>
      <c r="F23" s="6" t="s">
        <v>49</v>
      </c>
      <c r="G23" s="29">
        <v>35</v>
      </c>
      <c r="H23" s="23">
        <v>24387.527835857683</v>
      </c>
      <c r="J23" s="6" t="s">
        <v>49</v>
      </c>
      <c r="K23" s="29">
        <v>35</v>
      </c>
      <c r="L23" s="23">
        <v>24387.527835857683</v>
      </c>
      <c r="O23" s="6" t="s">
        <v>53</v>
      </c>
      <c r="P23" s="29">
        <v>169</v>
      </c>
      <c r="Q23" s="23">
        <v>7708.6890741835396</v>
      </c>
      <c r="T23" s="6" t="s">
        <v>53</v>
      </c>
      <c r="U23" s="29">
        <v>169</v>
      </c>
      <c r="V23" s="23">
        <v>7708.6890741835396</v>
      </c>
      <c r="AA23" s="37" t="s">
        <v>49</v>
      </c>
      <c r="AB23" s="29">
        <v>35</v>
      </c>
      <c r="AC23" s="38">
        <v>0.12508933740947722</v>
      </c>
      <c r="AD23" s="26">
        <v>3399.6453801137091</v>
      </c>
      <c r="AG23" s="37" t="s">
        <v>49</v>
      </c>
      <c r="AH23" s="29">
        <v>35</v>
      </c>
      <c r="AI23" s="38">
        <v>0.24147886208202046</v>
      </c>
      <c r="AJ23" s="26">
        <v>7365.1052935016241</v>
      </c>
      <c r="AM23" s="37" t="s">
        <v>49</v>
      </c>
      <c r="AN23" s="29">
        <v>35</v>
      </c>
      <c r="AO23" s="38">
        <v>0.25054983514888657</v>
      </c>
      <c r="AP23" s="26">
        <v>6110.291078963025</v>
      </c>
      <c r="AS23" s="37" t="s">
        <v>49</v>
      </c>
      <c r="AT23" s="29">
        <v>35</v>
      </c>
      <c r="AU23" s="38">
        <v>0.21051828483825066</v>
      </c>
      <c r="AV23" s="26">
        <v>5134.0205314498544</v>
      </c>
      <c r="AY23" s="37" t="s">
        <v>53</v>
      </c>
      <c r="AZ23" s="29">
        <v>169</v>
      </c>
      <c r="BA23" s="38">
        <v>0.14199627066652257</v>
      </c>
      <c r="BB23" s="26">
        <v>1094.6051002618312</v>
      </c>
      <c r="BE23" s="37" t="s">
        <v>53</v>
      </c>
      <c r="BF23" s="29">
        <v>169</v>
      </c>
      <c r="BG23" s="38">
        <v>0.14199627066652257</v>
      </c>
      <c r="BH23" s="26">
        <v>1094.6051002618312</v>
      </c>
      <c r="BM23" s="43" t="s">
        <v>74</v>
      </c>
      <c r="BN23">
        <v>80</v>
      </c>
      <c r="BQ23" s="43" t="s">
        <v>74</v>
      </c>
      <c r="BR23">
        <v>390</v>
      </c>
    </row>
    <row r="24" spans="1:70" x14ac:dyDescent="0.35">
      <c r="A24" s="6" t="s">
        <v>51</v>
      </c>
      <c r="B24" s="29">
        <v>45</v>
      </c>
      <c r="C24" s="23">
        <v>152000</v>
      </c>
      <c r="F24" s="6" t="s">
        <v>51</v>
      </c>
      <c r="G24" s="29">
        <v>45</v>
      </c>
      <c r="H24" s="23">
        <v>105568.79379410649</v>
      </c>
      <c r="J24" s="6" t="s">
        <v>51</v>
      </c>
      <c r="K24" s="29">
        <v>45</v>
      </c>
      <c r="L24" s="23">
        <v>105568.79379410649</v>
      </c>
      <c r="O24" s="6" t="s">
        <v>55</v>
      </c>
      <c r="P24" s="29">
        <v>135</v>
      </c>
      <c r="Q24" s="23">
        <v>19513.554148769726</v>
      </c>
      <c r="T24" s="6" t="s">
        <v>55</v>
      </c>
      <c r="U24" s="29">
        <v>135</v>
      </c>
      <c r="V24" s="23">
        <v>19513.554148769726</v>
      </c>
      <c r="AA24" s="37" t="s">
        <v>51</v>
      </c>
      <c r="AB24" s="29">
        <v>45</v>
      </c>
      <c r="AC24" s="38">
        <v>0.20264704710256121</v>
      </c>
      <c r="AD24" s="26">
        <v>32381.429815059531</v>
      </c>
      <c r="AG24" s="37" t="s">
        <v>51</v>
      </c>
      <c r="AH24" s="29">
        <v>45</v>
      </c>
      <c r="AI24" s="38">
        <v>0.17158401345733285</v>
      </c>
      <c r="AJ24" s="26">
        <v>26080.770045514593</v>
      </c>
      <c r="AM24" s="37" t="s">
        <v>51</v>
      </c>
      <c r="AN24" s="29">
        <v>45</v>
      </c>
      <c r="AO24" s="38">
        <v>0.15833851448709407</v>
      </c>
      <c r="AP24" s="26">
        <v>16715.605985553178</v>
      </c>
      <c r="AS24" s="37" t="s">
        <v>51</v>
      </c>
      <c r="AT24" s="29">
        <v>45</v>
      </c>
      <c r="AU24" s="38">
        <v>0.15858181288011333</v>
      </c>
      <c r="AV24" s="26">
        <v>16741.290703436265</v>
      </c>
      <c r="AY24" s="40" t="s">
        <v>55</v>
      </c>
      <c r="AZ24" s="29">
        <v>135</v>
      </c>
      <c r="BA24" s="38">
        <v>0.15246721924577578</v>
      </c>
      <c r="BB24" s="26">
        <v>2975.1773386647915</v>
      </c>
      <c r="BE24" s="40" t="s">
        <v>55</v>
      </c>
      <c r="BF24" s="29">
        <v>135</v>
      </c>
      <c r="BG24" s="38">
        <v>0.15246721924577578</v>
      </c>
      <c r="BH24" s="26">
        <v>2975.1773386647915</v>
      </c>
      <c r="BM24" s="43" t="s">
        <v>84</v>
      </c>
      <c r="BN24">
        <v>30</v>
      </c>
      <c r="BQ24" s="43" t="s">
        <v>84</v>
      </c>
      <c r="BR24">
        <v>30</v>
      </c>
    </row>
    <row r="25" spans="1:70" x14ac:dyDescent="0.35">
      <c r="A25" s="6" t="s">
        <v>53</v>
      </c>
      <c r="B25" s="29">
        <v>169</v>
      </c>
      <c r="C25" s="23">
        <v>9000</v>
      </c>
      <c r="F25" s="6" t="s">
        <v>53</v>
      </c>
      <c r="G25" s="29">
        <v>169</v>
      </c>
      <c r="H25" s="23">
        <v>8173.1115822004913</v>
      </c>
      <c r="J25" s="6" t="s">
        <v>53</v>
      </c>
      <c r="K25" s="29">
        <v>169</v>
      </c>
      <c r="L25" s="23">
        <v>8173.1115822004913</v>
      </c>
      <c r="O25" s="11" t="s">
        <v>57</v>
      </c>
      <c r="P25" s="29">
        <v>49</v>
      </c>
      <c r="Q25" s="23">
        <v>7199.770240150292</v>
      </c>
      <c r="T25" s="11" t="s">
        <v>57</v>
      </c>
      <c r="U25" s="29">
        <v>49</v>
      </c>
      <c r="V25" s="23">
        <v>7199.770240150292</v>
      </c>
      <c r="AA25" s="37" t="s">
        <v>53</v>
      </c>
      <c r="AB25" s="29">
        <v>169</v>
      </c>
      <c r="AC25" s="38">
        <v>0.19382961599304324</v>
      </c>
      <c r="AD25" s="26">
        <v>1812.3069095349542</v>
      </c>
      <c r="AG25" s="37" t="s">
        <v>53</v>
      </c>
      <c r="AH25" s="29">
        <v>169</v>
      </c>
      <c r="AI25" s="38">
        <v>0.23063111138166453</v>
      </c>
      <c r="AJ25" s="26">
        <v>2075.6800024349809</v>
      </c>
      <c r="AM25" s="37" t="s">
        <v>53</v>
      </c>
      <c r="AN25" s="29">
        <v>169</v>
      </c>
      <c r="AO25" s="38">
        <v>0.18361741501899284</v>
      </c>
      <c r="AP25" s="26">
        <v>1500.7256213854448</v>
      </c>
      <c r="AS25" s="37" t="s">
        <v>53</v>
      </c>
      <c r="AT25" s="29">
        <v>169</v>
      </c>
      <c r="AU25" s="38">
        <v>0.19375212759073726</v>
      </c>
      <c r="AV25" s="26">
        <v>1583.5577580878421</v>
      </c>
      <c r="AY25" s="40" t="s">
        <v>57</v>
      </c>
      <c r="AZ25" s="31">
        <v>99</v>
      </c>
      <c r="BA25" s="38">
        <v>0.15175870982106524</v>
      </c>
      <c r="BB25" s="26">
        <v>1092.6278426533092</v>
      </c>
      <c r="BE25" s="40" t="s">
        <v>57</v>
      </c>
      <c r="BF25" s="31">
        <v>99</v>
      </c>
      <c r="BG25" s="38">
        <v>0.15175870982106524</v>
      </c>
      <c r="BH25" s="26">
        <v>1092.6278426533092</v>
      </c>
      <c r="BM25" s="43" t="s">
        <v>91</v>
      </c>
      <c r="BN25">
        <v>336</v>
      </c>
      <c r="BQ25" s="43" t="s">
        <v>91</v>
      </c>
      <c r="BR25">
        <v>576</v>
      </c>
    </row>
    <row r="26" spans="1:70" x14ac:dyDescent="0.35">
      <c r="A26" s="6" t="s">
        <v>55</v>
      </c>
      <c r="B26" s="29">
        <v>135</v>
      </c>
      <c r="C26" s="23">
        <v>10900</v>
      </c>
      <c r="F26" s="6" t="s">
        <v>55</v>
      </c>
      <c r="G26" s="29">
        <v>135</v>
      </c>
      <c r="H26" s="23">
        <v>14949.538670777554</v>
      </c>
      <c r="J26" s="6" t="s">
        <v>55</v>
      </c>
      <c r="K26" s="29">
        <v>135</v>
      </c>
      <c r="L26" s="23">
        <v>14949.538670777554</v>
      </c>
      <c r="O26" s="11" t="s">
        <v>59</v>
      </c>
      <c r="P26" s="29">
        <v>65</v>
      </c>
      <c r="Q26" s="23">
        <v>7137.2410467883656</v>
      </c>
      <c r="T26" s="11" t="s">
        <v>59</v>
      </c>
      <c r="U26" s="29">
        <v>65</v>
      </c>
      <c r="V26" s="23">
        <v>7137.2410467883656</v>
      </c>
      <c r="AA26" s="37" t="s">
        <v>55</v>
      </c>
      <c r="AB26" s="29">
        <v>135</v>
      </c>
      <c r="AC26" s="38">
        <v>0.24142724584822486</v>
      </c>
      <c r="AD26" s="26">
        <v>2462.799334897742</v>
      </c>
      <c r="AG26" s="37" t="s">
        <v>55</v>
      </c>
      <c r="AH26" s="29">
        <v>135</v>
      </c>
      <c r="AI26" s="38">
        <v>0.20430426663044932</v>
      </c>
      <c r="AJ26" s="26">
        <v>2226.9165062718976</v>
      </c>
      <c r="AM26" s="37" t="s">
        <v>55</v>
      </c>
      <c r="AN26" s="29">
        <v>135</v>
      </c>
      <c r="AO26" s="38">
        <v>0.19436284034092163</v>
      </c>
      <c r="AP26" s="26">
        <v>2905.6347978387716</v>
      </c>
      <c r="AS26" s="37" t="s">
        <v>55</v>
      </c>
      <c r="AT26" s="29">
        <v>135</v>
      </c>
      <c r="AU26" s="38">
        <v>0.18703516548166754</v>
      </c>
      <c r="AV26" s="26">
        <v>2796.0894391634679</v>
      </c>
      <c r="AY26" s="40" t="s">
        <v>59</v>
      </c>
      <c r="AZ26" s="29">
        <v>199</v>
      </c>
      <c r="BA26" s="38">
        <v>0.24082629009396819</v>
      </c>
      <c r="BB26" s="26">
        <v>1718.8352828044322</v>
      </c>
      <c r="BE26" s="40" t="s">
        <v>59</v>
      </c>
      <c r="BF26" s="29">
        <v>199</v>
      </c>
      <c r="BG26" s="38">
        <v>0.24082629009396819</v>
      </c>
      <c r="BH26" s="26">
        <v>1718.8352828044322</v>
      </c>
      <c r="BM26" s="43" t="s">
        <v>97</v>
      </c>
      <c r="BN26">
        <v>384</v>
      </c>
      <c r="BQ26" s="43" t="s">
        <v>97</v>
      </c>
      <c r="BR26">
        <v>192</v>
      </c>
    </row>
    <row r="27" spans="1:70" x14ac:dyDescent="0.35">
      <c r="A27" s="11" t="s">
        <v>57</v>
      </c>
      <c r="B27" s="29">
        <v>49</v>
      </c>
      <c r="C27" s="23">
        <v>8321.6557040862826</v>
      </c>
      <c r="F27" s="11" t="s">
        <v>57</v>
      </c>
      <c r="G27" s="29">
        <v>49</v>
      </c>
      <c r="H27" s="23">
        <v>7729.9887221327181</v>
      </c>
      <c r="J27" s="11" t="s">
        <v>57</v>
      </c>
      <c r="K27" s="29">
        <v>49</v>
      </c>
      <c r="L27" s="23">
        <v>7729.9887221327181</v>
      </c>
      <c r="O27" s="11" t="s">
        <v>61</v>
      </c>
      <c r="P27" s="29">
        <v>30</v>
      </c>
      <c r="Q27" s="23">
        <v>43059.572864623784</v>
      </c>
      <c r="T27" s="11" t="s">
        <v>61</v>
      </c>
      <c r="U27" s="29">
        <v>30</v>
      </c>
      <c r="V27" s="23">
        <v>43059.572864623784</v>
      </c>
      <c r="AA27" s="40" t="s">
        <v>57</v>
      </c>
      <c r="AB27" s="29">
        <v>99</v>
      </c>
      <c r="AC27" s="38">
        <v>0.18106582218293188</v>
      </c>
      <c r="AD27" s="26">
        <v>1485.7488070393638</v>
      </c>
      <c r="AG27" s="40" t="s">
        <v>57</v>
      </c>
      <c r="AH27" s="29">
        <v>99</v>
      </c>
      <c r="AI27" s="38">
        <v>0.16936857465128541</v>
      </c>
      <c r="AJ27" s="26">
        <v>1409.4269653398326</v>
      </c>
      <c r="AM27" s="40" t="s">
        <v>57</v>
      </c>
      <c r="AN27" s="29">
        <v>99</v>
      </c>
      <c r="AO27" s="38">
        <v>0.1886745642870436</v>
      </c>
      <c r="AP27" s="26">
        <v>1458.4522540921516</v>
      </c>
      <c r="AS27" s="40" t="s">
        <v>57</v>
      </c>
      <c r="AT27" s="29">
        <v>99</v>
      </c>
      <c r="AU27" s="38">
        <v>0.19138987145198852</v>
      </c>
      <c r="AV27" s="26">
        <v>1479.4415478543019</v>
      </c>
      <c r="AY27" s="37" t="s">
        <v>61</v>
      </c>
      <c r="AZ27" s="29">
        <v>30</v>
      </c>
      <c r="BA27" s="38">
        <v>0.10025002976544826</v>
      </c>
      <c r="BB27" s="26">
        <v>4316.723461366023</v>
      </c>
      <c r="BE27" s="37" t="s">
        <v>61</v>
      </c>
      <c r="BF27" s="29">
        <v>30</v>
      </c>
      <c r="BG27" s="38">
        <v>0.10025002976544826</v>
      </c>
      <c r="BH27" s="26">
        <v>4316.723461366023</v>
      </c>
      <c r="BM27" s="43" t="s">
        <v>93</v>
      </c>
      <c r="BN27">
        <v>192</v>
      </c>
      <c r="BQ27" s="43" t="s">
        <v>93</v>
      </c>
      <c r="BR27">
        <v>384</v>
      </c>
    </row>
    <row r="28" spans="1:70" x14ac:dyDescent="0.35">
      <c r="A28" s="11" t="s">
        <v>59</v>
      </c>
      <c r="B28" s="29">
        <v>65</v>
      </c>
      <c r="C28" s="23">
        <v>12500</v>
      </c>
      <c r="F28" s="11" t="s">
        <v>59</v>
      </c>
      <c r="G28" s="29">
        <v>65</v>
      </c>
      <c r="H28" s="23">
        <v>10049.781531906452</v>
      </c>
      <c r="J28" s="11" t="s">
        <v>59</v>
      </c>
      <c r="K28" s="29">
        <v>65</v>
      </c>
      <c r="L28" s="23">
        <v>10049.781531906452</v>
      </c>
      <c r="O28" s="6" t="s">
        <v>63</v>
      </c>
      <c r="P28" s="29">
        <v>99</v>
      </c>
      <c r="Q28" s="23">
        <v>4585.7010902100783</v>
      </c>
      <c r="T28" s="6" t="s">
        <v>63</v>
      </c>
      <c r="U28" s="29">
        <v>99</v>
      </c>
      <c r="V28" s="23">
        <v>4585.7010902100783</v>
      </c>
      <c r="AA28" s="40" t="s">
        <v>59</v>
      </c>
      <c r="AB28" s="31">
        <v>199</v>
      </c>
      <c r="AC28" s="38">
        <v>0.23809895940443371</v>
      </c>
      <c r="AD28" s="26">
        <v>3023.8567844363079</v>
      </c>
      <c r="AG28" s="40" t="s">
        <v>59</v>
      </c>
      <c r="AH28" s="31">
        <v>199</v>
      </c>
      <c r="AI28" s="38">
        <v>0.2531882285119727</v>
      </c>
      <c r="AJ28" s="26">
        <v>3164.8528563996588</v>
      </c>
      <c r="AM28" s="40" t="s">
        <v>59</v>
      </c>
      <c r="AN28" s="31">
        <v>199</v>
      </c>
      <c r="AO28" s="38">
        <v>0.22903652218408202</v>
      </c>
      <c r="AP28" s="26">
        <v>2301.7670107776698</v>
      </c>
      <c r="AS28" s="40" t="s">
        <v>59</v>
      </c>
      <c r="AT28" s="31">
        <v>199</v>
      </c>
      <c r="AU28" s="38">
        <v>0.23656763160044658</v>
      </c>
      <c r="AV28" s="26">
        <v>2377.4530151050171</v>
      </c>
      <c r="AY28" s="41" t="s">
        <v>63</v>
      </c>
      <c r="AZ28" s="29">
        <v>49</v>
      </c>
      <c r="BA28" s="38">
        <v>0.23575337405950636</v>
      </c>
      <c r="BB28" s="26">
        <v>1081.0945044453827</v>
      </c>
      <c r="BE28" s="41" t="s">
        <v>63</v>
      </c>
      <c r="BF28" s="29">
        <v>49</v>
      </c>
      <c r="BG28" s="38">
        <v>0.23575337405950636</v>
      </c>
      <c r="BH28" s="26">
        <v>1081.0945044453827</v>
      </c>
      <c r="BM28" s="43" t="s">
        <v>99</v>
      </c>
      <c r="BN28">
        <v>48</v>
      </c>
      <c r="BQ28" s="43" t="s">
        <v>99</v>
      </c>
      <c r="BR28">
        <v>336</v>
      </c>
    </row>
    <row r="29" spans="1:70" x14ac:dyDescent="0.35">
      <c r="A29" s="11" t="s">
        <v>61</v>
      </c>
      <c r="B29" s="29">
        <v>30</v>
      </c>
      <c r="C29" s="23">
        <v>54500</v>
      </c>
      <c r="F29" s="11" t="s">
        <v>61</v>
      </c>
      <c r="G29" s="29">
        <v>30</v>
      </c>
      <c r="H29" s="23">
        <v>48086.526251567389</v>
      </c>
      <c r="J29" s="11" t="s">
        <v>61</v>
      </c>
      <c r="K29" s="29">
        <v>30</v>
      </c>
      <c r="L29" s="23">
        <v>48086.526251567389</v>
      </c>
      <c r="O29" s="13" t="s">
        <v>65</v>
      </c>
      <c r="P29" s="31">
        <v>199</v>
      </c>
      <c r="Q29" s="23">
        <v>100</v>
      </c>
      <c r="T29" s="13" t="s">
        <v>65</v>
      </c>
      <c r="U29" s="31">
        <v>199</v>
      </c>
      <c r="V29" s="23">
        <v>100</v>
      </c>
      <c r="AA29" s="40" t="s">
        <v>61</v>
      </c>
      <c r="AB29" s="29">
        <v>30</v>
      </c>
      <c r="AC29" s="38">
        <v>0.16608576621823817</v>
      </c>
      <c r="AD29" s="26">
        <v>9118.1085653812752</v>
      </c>
      <c r="AG29" s="40" t="s">
        <v>61</v>
      </c>
      <c r="AH29" s="29">
        <v>30</v>
      </c>
      <c r="AI29" s="38">
        <v>0.24565176924875118</v>
      </c>
      <c r="AJ29" s="26">
        <v>13388.021424056938</v>
      </c>
      <c r="AM29" s="40" t="s">
        <v>61</v>
      </c>
      <c r="AN29" s="29">
        <v>30</v>
      </c>
      <c r="AO29" s="38">
        <v>0.17017234500422754</v>
      </c>
      <c r="AP29" s="26">
        <v>8182.9969353365705</v>
      </c>
      <c r="AS29" s="40" t="s">
        <v>61</v>
      </c>
      <c r="AT29" s="29">
        <v>30</v>
      </c>
      <c r="AU29" s="38">
        <v>0.20649847915548389</v>
      </c>
      <c r="AV29" s="26">
        <v>9929.7945388189182</v>
      </c>
      <c r="AY29" s="18" t="s">
        <v>65</v>
      </c>
      <c r="AZ29" s="18">
        <v>169</v>
      </c>
      <c r="BA29" s="18">
        <v>0.21947180336442082</v>
      </c>
      <c r="BB29" s="18">
        <v>21.947180336442081</v>
      </c>
      <c r="BE29" s="18" t="s">
        <v>65</v>
      </c>
      <c r="BF29" s="18">
        <v>169</v>
      </c>
      <c r="BG29" s="18">
        <v>0.21947180336442082</v>
      </c>
      <c r="BH29" s="18">
        <v>21.947180336442081</v>
      </c>
      <c r="BM29" s="43" t="s">
        <v>95</v>
      </c>
      <c r="BN29">
        <v>240</v>
      </c>
      <c r="BQ29" s="43" t="s">
        <v>95</v>
      </c>
      <c r="BR29">
        <v>288</v>
      </c>
    </row>
    <row r="30" spans="1:70" x14ac:dyDescent="0.35">
      <c r="A30" s="6" t="s">
        <v>63</v>
      </c>
      <c r="B30" s="29">
        <v>99</v>
      </c>
      <c r="C30" s="23">
        <v>5014.0246005938061</v>
      </c>
      <c r="F30" s="6" t="s">
        <v>63</v>
      </c>
      <c r="G30" s="29">
        <v>99</v>
      </c>
      <c r="H30" s="23">
        <v>4548.9254704773357</v>
      </c>
      <c r="J30" s="6" t="s">
        <v>63</v>
      </c>
      <c r="K30" s="29">
        <v>99</v>
      </c>
      <c r="L30" s="23">
        <v>4548.9254704773357</v>
      </c>
      <c r="O30" s="14"/>
      <c r="P30" s="18"/>
      <c r="Q30" s="18"/>
      <c r="T30" s="14"/>
      <c r="U30" s="18"/>
      <c r="V30" s="18"/>
      <c r="AA30" s="37" t="s">
        <v>63</v>
      </c>
      <c r="AB30" s="29">
        <v>49</v>
      </c>
      <c r="AC30" s="38">
        <v>0.27256308025085757</v>
      </c>
      <c r="AD30" s="26">
        <v>1099.057496551824</v>
      </c>
      <c r="AG30" s="37" t="s">
        <v>63</v>
      </c>
      <c r="AH30" s="29">
        <v>49</v>
      </c>
      <c r="AI30" s="38">
        <v>0.23780106572444148</v>
      </c>
      <c r="AJ30" s="26">
        <v>1192.3403935897741</v>
      </c>
      <c r="AM30" s="37" t="s">
        <v>63</v>
      </c>
      <c r="AN30" s="29">
        <v>49</v>
      </c>
      <c r="AO30" s="38">
        <v>0.23159006867406248</v>
      </c>
      <c r="AP30" s="26">
        <v>1053.4859621010382</v>
      </c>
      <c r="AS30" s="37" t="s">
        <v>63</v>
      </c>
      <c r="AT30" s="29">
        <v>49</v>
      </c>
      <c r="AU30" s="38">
        <v>0.22607637256990532</v>
      </c>
      <c r="AV30" s="26">
        <v>1028.4045694563661</v>
      </c>
      <c r="AY30" s="37"/>
      <c r="AZ30" s="29"/>
      <c r="BA30" s="38"/>
      <c r="BB30" s="26"/>
      <c r="BE30" s="37"/>
      <c r="BF30" s="29"/>
      <c r="BG30" s="38"/>
      <c r="BH30" s="26"/>
      <c r="BM30" s="43" t="s">
        <v>101</v>
      </c>
      <c r="BN30">
        <v>1212</v>
      </c>
      <c r="BQ30" s="43" t="s">
        <v>101</v>
      </c>
      <c r="BR30">
        <v>1368</v>
      </c>
    </row>
    <row r="31" spans="1:70" x14ac:dyDescent="0.35">
      <c r="A31" s="13" t="s">
        <v>65</v>
      </c>
      <c r="B31" s="31">
        <v>199</v>
      </c>
      <c r="C31" s="23">
        <v>0</v>
      </c>
      <c r="F31" s="13" t="s">
        <v>65</v>
      </c>
      <c r="G31" s="31">
        <v>199</v>
      </c>
      <c r="H31" s="23">
        <v>0</v>
      </c>
      <c r="J31" s="13" t="s">
        <v>65</v>
      </c>
      <c r="K31" s="31">
        <v>199</v>
      </c>
      <c r="L31" s="23">
        <v>0</v>
      </c>
      <c r="O31" s="6" t="s">
        <v>68</v>
      </c>
      <c r="P31" s="29">
        <v>49</v>
      </c>
      <c r="Q31" s="23">
        <v>52491.809879966793</v>
      </c>
      <c r="T31" s="6" t="s">
        <v>68</v>
      </c>
      <c r="U31" s="29">
        <v>49</v>
      </c>
      <c r="V31" s="23">
        <v>52491.809879966793</v>
      </c>
      <c r="AA31" s="41" t="s">
        <v>65</v>
      </c>
      <c r="AB31" s="29">
        <v>169</v>
      </c>
      <c r="AC31" s="38">
        <v>0.47368421052631582</v>
      </c>
      <c r="AD31" s="26">
        <v>0</v>
      </c>
      <c r="AG31" s="41" t="s">
        <v>65</v>
      </c>
      <c r="AH31" s="29">
        <v>169</v>
      </c>
      <c r="AI31" s="38">
        <v>0.25806451612903225</v>
      </c>
      <c r="AJ31" s="26">
        <v>0</v>
      </c>
      <c r="AM31" s="41" t="s">
        <v>65</v>
      </c>
      <c r="AN31" s="29">
        <v>169</v>
      </c>
      <c r="AO31" s="38">
        <v>0.15686274509803924</v>
      </c>
      <c r="AP31" s="26">
        <v>0</v>
      </c>
      <c r="AS31" s="41" t="s">
        <v>65</v>
      </c>
      <c r="AT31" s="29">
        <v>169</v>
      </c>
      <c r="AU31" s="38">
        <v>0.14814814814814814</v>
      </c>
      <c r="AV31" s="26">
        <v>0</v>
      </c>
      <c r="AY31" s="37" t="s">
        <v>68</v>
      </c>
      <c r="AZ31" s="31">
        <v>109</v>
      </c>
      <c r="BA31" s="38">
        <v>0.13541102228941285</v>
      </c>
      <c r="BB31" s="26">
        <v>7107.9696376678048</v>
      </c>
      <c r="BE31" s="37" t="s">
        <v>68</v>
      </c>
      <c r="BF31" s="31">
        <v>109</v>
      </c>
      <c r="BG31" s="38">
        <v>0.13541102228941285</v>
      </c>
      <c r="BH31" s="26">
        <v>7107.9696376678048</v>
      </c>
      <c r="BM31" s="43" t="s">
        <v>20</v>
      </c>
      <c r="BN31">
        <v>2712</v>
      </c>
      <c r="BQ31" s="43" t="s">
        <v>20</v>
      </c>
      <c r="BR31">
        <v>2736</v>
      </c>
    </row>
    <row r="32" spans="1:70" x14ac:dyDescent="0.35">
      <c r="A32" s="14"/>
      <c r="B32" s="18"/>
      <c r="C32" s="18"/>
      <c r="F32" s="14"/>
      <c r="G32" s="18"/>
      <c r="H32" s="18"/>
      <c r="J32" s="14"/>
      <c r="K32" s="18"/>
      <c r="L32" s="18"/>
      <c r="O32" s="6" t="s">
        <v>70</v>
      </c>
      <c r="P32" s="29">
        <v>169</v>
      </c>
      <c r="Q32" s="23">
        <v>13706.729227560225</v>
      </c>
      <c r="T32" s="6" t="s">
        <v>70</v>
      </c>
      <c r="U32" s="29">
        <v>169</v>
      </c>
      <c r="V32" s="23">
        <v>13706.729227560225</v>
      </c>
      <c r="AA32" s="18"/>
      <c r="AB32" s="18"/>
      <c r="AC32" s="18"/>
      <c r="AD32" s="18"/>
      <c r="AG32" s="18"/>
      <c r="AH32" s="18"/>
      <c r="AI32" s="18"/>
      <c r="AJ32" s="18"/>
      <c r="AM32" s="18"/>
      <c r="AN32" s="18"/>
      <c r="AO32" s="18"/>
      <c r="AP32" s="18"/>
      <c r="AS32" s="18"/>
      <c r="AT32" s="18"/>
      <c r="AU32" s="18"/>
      <c r="AV32" s="18"/>
      <c r="AY32" s="32" t="s">
        <v>70</v>
      </c>
      <c r="AZ32" s="29">
        <v>99</v>
      </c>
      <c r="BA32" s="38">
        <v>0.21666507444765273</v>
      </c>
      <c r="BB32" s="26">
        <v>2969.7695085231539</v>
      </c>
      <c r="BE32" s="32" t="s">
        <v>70</v>
      </c>
      <c r="BF32" s="29">
        <v>99</v>
      </c>
      <c r="BG32" s="38">
        <v>0.21666507444765273</v>
      </c>
      <c r="BH32" s="26">
        <v>2969.7695085231539</v>
      </c>
      <c r="BM32" s="43" t="s">
        <v>24</v>
      </c>
      <c r="BN32">
        <v>384</v>
      </c>
      <c r="BQ32" s="43" t="s">
        <v>24</v>
      </c>
      <c r="BR32">
        <v>480</v>
      </c>
    </row>
    <row r="33" spans="1:70" x14ac:dyDescent="0.35">
      <c r="A33" s="6" t="s">
        <v>68</v>
      </c>
      <c r="B33" s="29">
        <v>49</v>
      </c>
      <c r="C33" s="23">
        <v>78500</v>
      </c>
      <c r="F33" s="6" t="s">
        <v>68</v>
      </c>
      <c r="G33" s="29">
        <v>49</v>
      </c>
      <c r="H33" s="23">
        <v>65525.572031098753</v>
      </c>
      <c r="J33" s="6" t="s">
        <v>68</v>
      </c>
      <c r="K33" s="29">
        <v>49</v>
      </c>
      <c r="L33" s="23">
        <v>65525.572031098753</v>
      </c>
      <c r="O33" s="15" t="s">
        <v>72</v>
      </c>
      <c r="P33" s="29">
        <v>229</v>
      </c>
      <c r="Q33" s="23">
        <v>9080.3583419834013</v>
      </c>
      <c r="T33" s="15" t="s">
        <v>72</v>
      </c>
      <c r="U33" s="29">
        <v>229</v>
      </c>
      <c r="V33" s="23">
        <v>9080.3583419834013</v>
      </c>
      <c r="AA33" s="37" t="s">
        <v>68</v>
      </c>
      <c r="AB33" s="29">
        <v>109</v>
      </c>
      <c r="AC33" s="38">
        <v>0.18085365588632027</v>
      </c>
      <c r="AD33" s="26">
        <v>14747.071304572197</v>
      </c>
      <c r="AG33" s="37" t="s">
        <v>68</v>
      </c>
      <c r="AH33" s="29">
        <v>109</v>
      </c>
      <c r="AI33" s="38">
        <v>0.18692840825221504</v>
      </c>
      <c r="AJ33" s="26">
        <v>14673.880047798881</v>
      </c>
      <c r="AM33" s="37" t="s">
        <v>68</v>
      </c>
      <c r="AN33" s="29">
        <v>109</v>
      </c>
      <c r="AO33" s="38">
        <v>0.15726595456813797</v>
      </c>
      <c r="AP33" s="26">
        <v>10304.941634094028</v>
      </c>
      <c r="AS33" s="37" t="s">
        <v>68</v>
      </c>
      <c r="AT33" s="29">
        <v>109</v>
      </c>
      <c r="AU33" s="38">
        <v>0.19249758791966035</v>
      </c>
      <c r="AV33" s="26">
        <v>12613.514563042469</v>
      </c>
      <c r="AY33" s="37" t="s">
        <v>72</v>
      </c>
      <c r="AZ33" s="29">
        <v>99</v>
      </c>
      <c r="BA33" s="38">
        <v>0.1432408886307536</v>
      </c>
      <c r="BB33" s="26">
        <v>1300.6785979913789</v>
      </c>
      <c r="BE33" s="37" t="s">
        <v>72</v>
      </c>
      <c r="BF33" s="29">
        <v>99</v>
      </c>
      <c r="BG33" s="38">
        <v>0.1432408886307536</v>
      </c>
      <c r="BH33" s="26">
        <v>1300.6785979913789</v>
      </c>
      <c r="BM33" s="43" t="s">
        <v>14</v>
      </c>
      <c r="BN33">
        <v>3096</v>
      </c>
      <c r="BQ33" s="43" t="s">
        <v>14</v>
      </c>
      <c r="BR33">
        <v>4536</v>
      </c>
    </row>
    <row r="34" spans="1:70" x14ac:dyDescent="0.35">
      <c r="A34" s="6" t="s">
        <v>70</v>
      </c>
      <c r="B34" s="29">
        <v>169</v>
      </c>
      <c r="C34" s="23">
        <v>20500</v>
      </c>
      <c r="F34" s="6" t="s">
        <v>70</v>
      </c>
      <c r="G34" s="29">
        <v>169</v>
      </c>
      <c r="H34" s="23">
        <v>17347.345498566454</v>
      </c>
      <c r="J34" s="6" t="s">
        <v>70</v>
      </c>
      <c r="K34" s="29">
        <v>169</v>
      </c>
      <c r="L34" s="23">
        <v>17347.345498566454</v>
      </c>
      <c r="O34" s="6" t="s">
        <v>74</v>
      </c>
      <c r="P34" s="29">
        <v>109</v>
      </c>
      <c r="Q34" s="23">
        <v>2551.4118284093256</v>
      </c>
      <c r="T34" s="6" t="s">
        <v>74</v>
      </c>
      <c r="U34" s="29">
        <v>109</v>
      </c>
      <c r="V34" s="23">
        <v>2551.4118284093256</v>
      </c>
      <c r="AA34" s="37" t="s">
        <v>70</v>
      </c>
      <c r="AB34" s="31">
        <v>99</v>
      </c>
      <c r="AC34" s="38">
        <v>0.21393002355224003</v>
      </c>
      <c r="AD34" s="26">
        <v>4406.0767214268944</v>
      </c>
      <c r="AG34" s="37" t="s">
        <v>70</v>
      </c>
      <c r="AH34" s="31">
        <v>99</v>
      </c>
      <c r="AI34" s="38">
        <v>0.19859526930516608</v>
      </c>
      <c r="AJ34" s="26">
        <v>4071.2030207559046</v>
      </c>
      <c r="AM34" s="37" t="s">
        <v>70</v>
      </c>
      <c r="AN34" s="31">
        <v>99</v>
      </c>
      <c r="AO34" s="38">
        <v>0.19106985288426229</v>
      </c>
      <c r="AP34" s="26">
        <v>3314.5547523435621</v>
      </c>
      <c r="AS34" s="37" t="s">
        <v>70</v>
      </c>
      <c r="AT34" s="31">
        <v>99</v>
      </c>
      <c r="AU34" s="38">
        <v>0.15477085013740241</v>
      </c>
      <c r="AV34" s="26">
        <v>2684.8634104403709</v>
      </c>
      <c r="AY34" s="37" t="s">
        <v>74</v>
      </c>
      <c r="AZ34" s="31">
        <v>109</v>
      </c>
      <c r="BA34" s="38">
        <v>0.18322211641464173</v>
      </c>
      <c r="BB34" s="26">
        <v>467.47507504650736</v>
      </c>
      <c r="BE34" s="37" t="s">
        <v>74</v>
      </c>
      <c r="BF34" s="31">
        <v>109</v>
      </c>
      <c r="BG34" s="38">
        <v>0.18322211641464173</v>
      </c>
      <c r="BH34" s="26">
        <v>467.47507504650736</v>
      </c>
      <c r="BM34" s="43" t="s">
        <v>16</v>
      </c>
      <c r="BN34">
        <v>5280</v>
      </c>
      <c r="BQ34" s="43" t="s">
        <v>16</v>
      </c>
      <c r="BR34">
        <v>4320</v>
      </c>
    </row>
    <row r="35" spans="1:70" x14ac:dyDescent="0.35">
      <c r="A35" s="15" t="s">
        <v>72</v>
      </c>
      <c r="B35" s="29">
        <v>229</v>
      </c>
      <c r="C35" s="23">
        <v>12100</v>
      </c>
      <c r="F35" s="15" t="s">
        <v>72</v>
      </c>
      <c r="G35" s="29">
        <v>229</v>
      </c>
      <c r="H35" s="23">
        <v>10353.354194474241</v>
      </c>
      <c r="J35" s="15" t="s">
        <v>72</v>
      </c>
      <c r="K35" s="29">
        <v>229</v>
      </c>
      <c r="L35" s="23">
        <v>10353.354194474241</v>
      </c>
      <c r="O35" s="6" t="s">
        <v>76</v>
      </c>
      <c r="P35" s="29">
        <v>109</v>
      </c>
      <c r="Q35" s="23">
        <v>3432.7444135466631</v>
      </c>
      <c r="T35" s="6" t="s">
        <v>76</v>
      </c>
      <c r="U35" s="29">
        <v>109</v>
      </c>
      <c r="V35" s="23">
        <v>3432.7444135466631</v>
      </c>
      <c r="AA35" s="32" t="s">
        <v>72</v>
      </c>
      <c r="AB35" s="29">
        <v>99</v>
      </c>
      <c r="AC35" s="38">
        <v>0.24276689044099345</v>
      </c>
      <c r="AD35" s="26">
        <v>3353.8245914423246</v>
      </c>
      <c r="AG35" s="32" t="s">
        <v>72</v>
      </c>
      <c r="AH35" s="29">
        <v>99</v>
      </c>
      <c r="AI35" s="38">
        <v>0.26590462178335539</v>
      </c>
      <c r="AJ35" s="26">
        <v>3217.4459235786003</v>
      </c>
      <c r="AM35" s="32" t="s">
        <v>72</v>
      </c>
      <c r="AN35" s="29">
        <v>99</v>
      </c>
      <c r="AO35" s="38">
        <v>0.21410914622551808</v>
      </c>
      <c r="AP35" s="26">
        <v>2216.7478271492664</v>
      </c>
      <c r="AS35" s="32" t="s">
        <v>72</v>
      </c>
      <c r="AT35" s="29">
        <v>99</v>
      </c>
      <c r="AU35" s="38">
        <v>0.20098353645499251</v>
      </c>
      <c r="AV35" s="26">
        <v>2080.8537401765634</v>
      </c>
      <c r="AY35" s="41" t="s">
        <v>76</v>
      </c>
      <c r="AZ35" s="31">
        <v>99</v>
      </c>
      <c r="BA35" s="38">
        <v>0.18123373512876034</v>
      </c>
      <c r="BB35" s="26">
        <v>622.12909180944769</v>
      </c>
      <c r="BE35" s="41" t="s">
        <v>76</v>
      </c>
      <c r="BF35" s="31">
        <v>99</v>
      </c>
      <c r="BG35" s="38">
        <v>0.18123373512876034</v>
      </c>
      <c r="BH35" s="26">
        <v>622.12909180944769</v>
      </c>
      <c r="BM35" s="43" t="s">
        <v>22</v>
      </c>
      <c r="BN35">
        <v>2700</v>
      </c>
      <c r="BQ35" s="43" t="s">
        <v>22</v>
      </c>
      <c r="BR35">
        <v>2160</v>
      </c>
    </row>
    <row r="36" spans="1:70" x14ac:dyDescent="0.35">
      <c r="A36" s="6" t="s">
        <v>74</v>
      </c>
      <c r="B36" s="29">
        <v>109</v>
      </c>
      <c r="C36" s="23">
        <v>2600</v>
      </c>
      <c r="F36" s="6" t="s">
        <v>74</v>
      </c>
      <c r="G36" s="29">
        <v>109</v>
      </c>
      <c r="H36" s="23">
        <v>2025.0130618122628</v>
      </c>
      <c r="J36" s="6" t="s">
        <v>74</v>
      </c>
      <c r="K36" s="29">
        <v>109</v>
      </c>
      <c r="L36" s="23">
        <v>2025.0130618122628</v>
      </c>
      <c r="O36" s="13" t="s">
        <v>78</v>
      </c>
      <c r="P36" s="31">
        <v>99</v>
      </c>
      <c r="Q36" s="23">
        <v>0</v>
      </c>
      <c r="T36" s="13" t="s">
        <v>78</v>
      </c>
      <c r="U36" s="31">
        <v>99</v>
      </c>
      <c r="V36" s="23">
        <v>0</v>
      </c>
      <c r="AA36" s="37" t="s">
        <v>74</v>
      </c>
      <c r="AB36" s="29">
        <v>109</v>
      </c>
      <c r="AC36" s="38">
        <v>0.20541346864061147</v>
      </c>
      <c r="AD36" s="26">
        <v>415.34870129870126</v>
      </c>
      <c r="AG36" s="37" t="s">
        <v>74</v>
      </c>
      <c r="AH36" s="29">
        <v>109</v>
      </c>
      <c r="AI36" s="38">
        <v>0.22083069483050216</v>
      </c>
      <c r="AJ36" s="26">
        <v>574.15980655930559</v>
      </c>
      <c r="AM36" s="37" t="s">
        <v>74</v>
      </c>
      <c r="AN36" s="29">
        <v>109</v>
      </c>
      <c r="AO36" s="38">
        <v>0.22499897913348835</v>
      </c>
      <c r="AP36" s="26">
        <v>455.62587163973865</v>
      </c>
      <c r="AS36" s="37" t="s">
        <v>74</v>
      </c>
      <c r="AT36" s="29">
        <v>109</v>
      </c>
      <c r="AU36" s="38">
        <v>0.2147732853987844</v>
      </c>
      <c r="AV36" s="26">
        <v>434.91870826087137</v>
      </c>
      <c r="AY36" s="37" t="s">
        <v>78</v>
      </c>
      <c r="AZ36" s="31">
        <v>99</v>
      </c>
      <c r="BA36" s="38">
        <v>0</v>
      </c>
      <c r="BB36" s="26">
        <v>0</v>
      </c>
      <c r="BE36" s="37" t="s">
        <v>78</v>
      </c>
      <c r="BF36" s="31">
        <v>99</v>
      </c>
      <c r="BG36" s="38">
        <v>0</v>
      </c>
      <c r="BH36" s="26">
        <v>0</v>
      </c>
      <c r="BM36" s="43" t="s">
        <v>26</v>
      </c>
      <c r="BN36">
        <v>270</v>
      </c>
      <c r="BQ36" s="43" t="s">
        <v>26</v>
      </c>
      <c r="BR36">
        <v>1260</v>
      </c>
    </row>
    <row r="37" spans="1:70" x14ac:dyDescent="0.35">
      <c r="A37" s="6" t="s">
        <v>76</v>
      </c>
      <c r="B37" s="29">
        <v>109</v>
      </c>
      <c r="C37" s="23">
        <v>3531.7173017049663</v>
      </c>
      <c r="F37" s="6" t="s">
        <v>76</v>
      </c>
      <c r="G37" s="29">
        <v>109</v>
      </c>
      <c r="H37" s="23">
        <v>2769.4814787899331</v>
      </c>
      <c r="J37" s="6" t="s">
        <v>76</v>
      </c>
      <c r="K37" s="29">
        <v>109</v>
      </c>
      <c r="L37" s="23">
        <v>2769.4814787899331</v>
      </c>
      <c r="O37" s="6" t="s">
        <v>80</v>
      </c>
      <c r="P37" s="29">
        <v>99</v>
      </c>
      <c r="Q37" s="25" t="s">
        <v>149</v>
      </c>
      <c r="T37" s="6" t="s">
        <v>80</v>
      </c>
      <c r="U37" s="29">
        <v>99</v>
      </c>
      <c r="V37" s="25" t="s">
        <v>149</v>
      </c>
      <c r="AA37" s="37" t="s">
        <v>76</v>
      </c>
      <c r="AB37" s="31">
        <v>99</v>
      </c>
      <c r="AC37" s="38">
        <v>0.20760373057242934</v>
      </c>
      <c r="AD37" s="26">
        <v>630.61493506493525</v>
      </c>
      <c r="AG37" s="37" t="s">
        <v>76</v>
      </c>
      <c r="AH37" s="31">
        <v>99</v>
      </c>
      <c r="AI37" s="38">
        <v>0.21985751264000755</v>
      </c>
      <c r="AJ37" s="26">
        <v>776.47458130053303</v>
      </c>
      <c r="AM37" s="37" t="s">
        <v>76</v>
      </c>
      <c r="AN37" s="31">
        <v>99</v>
      </c>
      <c r="AO37" s="38">
        <v>0.18615248782432856</v>
      </c>
      <c r="AP37" s="26">
        <v>515.54586726014645</v>
      </c>
      <c r="AS37" s="37" t="s">
        <v>76</v>
      </c>
      <c r="AT37" s="31">
        <v>99</v>
      </c>
      <c r="AU37" s="38">
        <v>0.22014723263132349</v>
      </c>
      <c r="AV37" s="26">
        <v>609.69368337930916</v>
      </c>
      <c r="AY37" s="37" t="s">
        <v>80</v>
      </c>
      <c r="AZ37" s="31">
        <v>99</v>
      </c>
      <c r="BA37" s="38">
        <v>0</v>
      </c>
      <c r="BB37" s="26">
        <v>0</v>
      </c>
      <c r="BE37" s="37" t="s">
        <v>80</v>
      </c>
      <c r="BF37" s="31">
        <v>99</v>
      </c>
      <c r="BG37" s="38">
        <v>0</v>
      </c>
      <c r="BH37" s="26">
        <v>0</v>
      </c>
      <c r="BM37" s="43" t="s">
        <v>28</v>
      </c>
      <c r="BN37">
        <v>1780</v>
      </c>
      <c r="BQ37" s="43" t="s">
        <v>28</v>
      </c>
      <c r="BR37">
        <v>3520</v>
      </c>
    </row>
    <row r="38" spans="1:70" x14ac:dyDescent="0.35">
      <c r="A38" s="13" t="s">
        <v>78</v>
      </c>
      <c r="B38" s="31">
        <v>99</v>
      </c>
      <c r="C38" s="23">
        <v>0</v>
      </c>
      <c r="F38" s="13" t="s">
        <v>78</v>
      </c>
      <c r="G38" s="31">
        <v>99</v>
      </c>
      <c r="H38" s="23">
        <v>0</v>
      </c>
      <c r="J38" s="13" t="s">
        <v>78</v>
      </c>
      <c r="K38" s="31">
        <v>99</v>
      </c>
      <c r="L38" s="23">
        <v>0</v>
      </c>
      <c r="O38" s="6" t="s">
        <v>82</v>
      </c>
      <c r="P38" s="29">
        <v>109</v>
      </c>
      <c r="Q38" s="23">
        <v>2385.7289418329319</v>
      </c>
      <c r="T38" s="6" t="s">
        <v>82</v>
      </c>
      <c r="U38" s="29">
        <v>109</v>
      </c>
      <c r="V38" s="23">
        <v>2385.7289418329319</v>
      </c>
      <c r="AA38" s="41" t="s">
        <v>78</v>
      </c>
      <c r="AB38" s="31">
        <v>99</v>
      </c>
      <c r="AC38" s="38" t="e">
        <v>#N/A</v>
      </c>
      <c r="AD38" s="26" t="e">
        <v>#N/A</v>
      </c>
      <c r="AG38" s="41" t="s">
        <v>78</v>
      </c>
      <c r="AH38" s="31">
        <v>99</v>
      </c>
      <c r="AI38" s="38">
        <v>0</v>
      </c>
      <c r="AJ38" s="26" t="e">
        <v>#N/A</v>
      </c>
      <c r="AM38" s="41" t="s">
        <v>78</v>
      </c>
      <c r="AN38" s="31">
        <v>99</v>
      </c>
      <c r="AO38" s="38">
        <v>0</v>
      </c>
      <c r="AP38" s="26" t="e">
        <v>#N/A</v>
      </c>
      <c r="AS38" s="41" t="s">
        <v>78</v>
      </c>
      <c r="AT38" s="31">
        <v>99</v>
      </c>
      <c r="AU38" s="38">
        <v>0</v>
      </c>
      <c r="AV38" s="26" t="e">
        <v>#N/A</v>
      </c>
      <c r="AY38" s="41" t="s">
        <v>82</v>
      </c>
      <c r="AZ38" s="29">
        <v>109</v>
      </c>
      <c r="BA38" s="38">
        <v>0.21093118363285027</v>
      </c>
      <c r="BB38" s="26">
        <v>503.22462952796769</v>
      </c>
      <c r="BE38" s="41" t="s">
        <v>82</v>
      </c>
      <c r="BF38" s="29">
        <v>109</v>
      </c>
      <c r="BG38" s="38">
        <v>0.21093118363285027</v>
      </c>
      <c r="BH38" s="26">
        <v>503.22462952796769</v>
      </c>
      <c r="BM38" s="43" t="s">
        <v>40</v>
      </c>
      <c r="BN38">
        <v>80</v>
      </c>
      <c r="BQ38" s="43" t="s">
        <v>40</v>
      </c>
      <c r="BR38">
        <v>280</v>
      </c>
    </row>
    <row r="39" spans="1:70" x14ac:dyDescent="0.35">
      <c r="A39" s="6" t="s">
        <v>80</v>
      </c>
      <c r="B39" s="29">
        <v>99</v>
      </c>
      <c r="C39" s="25" t="s">
        <v>149</v>
      </c>
      <c r="F39" s="6" t="s">
        <v>80</v>
      </c>
      <c r="G39" s="29">
        <v>99</v>
      </c>
      <c r="H39" s="25" t="s">
        <v>149</v>
      </c>
      <c r="J39" s="6" t="s">
        <v>80</v>
      </c>
      <c r="K39" s="29">
        <v>99</v>
      </c>
      <c r="L39" s="25" t="s">
        <v>149</v>
      </c>
      <c r="O39" s="13" t="s">
        <v>84</v>
      </c>
      <c r="P39" s="31">
        <v>99</v>
      </c>
      <c r="Q39" s="23">
        <v>0</v>
      </c>
      <c r="T39" s="13" t="s">
        <v>84</v>
      </c>
      <c r="U39" s="31">
        <v>99</v>
      </c>
      <c r="V39" s="23">
        <v>0</v>
      </c>
      <c r="AA39" s="37" t="s">
        <v>80</v>
      </c>
      <c r="AB39" s="31">
        <v>99</v>
      </c>
      <c r="AC39" s="38" t="e">
        <v>#N/A</v>
      </c>
      <c r="AD39" s="26">
        <v>0</v>
      </c>
      <c r="AG39" s="37" t="s">
        <v>80</v>
      </c>
      <c r="AH39" s="31">
        <v>99</v>
      </c>
      <c r="AI39" s="38">
        <v>0</v>
      </c>
      <c r="AJ39" s="26">
        <v>0</v>
      </c>
      <c r="AM39" s="37" t="s">
        <v>80</v>
      </c>
      <c r="AN39" s="31">
        <v>99</v>
      </c>
      <c r="AO39" s="38">
        <v>0</v>
      </c>
      <c r="AP39" s="26">
        <v>0</v>
      </c>
      <c r="AS39" s="37" t="s">
        <v>80</v>
      </c>
      <c r="AT39" s="31">
        <v>99</v>
      </c>
      <c r="AU39" s="38">
        <v>0</v>
      </c>
      <c r="AV39" s="26">
        <v>0</v>
      </c>
      <c r="AY39" s="41" t="s">
        <v>84</v>
      </c>
      <c r="AZ39" s="29">
        <v>115</v>
      </c>
      <c r="BA39" s="38">
        <v>0.28888888888888886</v>
      </c>
      <c r="BB39" s="26">
        <v>0</v>
      </c>
      <c r="BE39" s="41" t="s">
        <v>84</v>
      </c>
      <c r="BF39" s="29">
        <v>115</v>
      </c>
      <c r="BG39" s="38">
        <v>0.28888888888888886</v>
      </c>
      <c r="BH39" s="26">
        <v>0</v>
      </c>
      <c r="BM39" s="43" t="s">
        <v>38</v>
      </c>
      <c r="BN39">
        <v>1536</v>
      </c>
      <c r="BQ39" s="43" t="s">
        <v>38</v>
      </c>
      <c r="BR39">
        <v>3200</v>
      </c>
    </row>
    <row r="40" spans="1:70" x14ac:dyDescent="0.35">
      <c r="A40" s="6" t="s">
        <v>82</v>
      </c>
      <c r="B40" s="29">
        <v>109</v>
      </c>
      <c r="C40" s="23">
        <v>3142.720551724135</v>
      </c>
      <c r="F40" s="6" t="s">
        <v>82</v>
      </c>
      <c r="G40" s="29">
        <v>109</v>
      </c>
      <c r="H40" s="23">
        <v>2620.5740160077426</v>
      </c>
      <c r="J40" s="6" t="s">
        <v>82</v>
      </c>
      <c r="K40" s="29">
        <v>109</v>
      </c>
      <c r="L40" s="23">
        <v>2620.5740160077426</v>
      </c>
      <c r="O40" s="13" t="s">
        <v>86</v>
      </c>
      <c r="P40" s="31">
        <v>99</v>
      </c>
      <c r="Q40" s="23">
        <v>0</v>
      </c>
      <c r="T40" s="13" t="s">
        <v>86</v>
      </c>
      <c r="U40" s="31">
        <v>99</v>
      </c>
      <c r="V40" s="23">
        <v>0</v>
      </c>
      <c r="AA40" s="37" t="s">
        <v>82</v>
      </c>
      <c r="AB40" s="31">
        <v>109</v>
      </c>
      <c r="AC40" s="38">
        <v>0.21325015262862534</v>
      </c>
      <c r="AD40" s="26">
        <v>578.15259740259739</v>
      </c>
      <c r="AG40" s="37" t="s">
        <v>82</v>
      </c>
      <c r="AH40" s="31">
        <v>109</v>
      </c>
      <c r="AI40" s="38">
        <v>0.22423011225077463</v>
      </c>
      <c r="AJ40" s="26">
        <v>704.69258208591918</v>
      </c>
      <c r="AM40" s="37" t="s">
        <v>82</v>
      </c>
      <c r="AN40" s="31">
        <v>109</v>
      </c>
      <c r="AO40" s="38">
        <v>0.22148684512302999</v>
      </c>
      <c r="AP40" s="26">
        <v>580.42267121694363</v>
      </c>
      <c r="AS40" s="37" t="s">
        <v>82</v>
      </c>
      <c r="AT40" s="31">
        <v>109</v>
      </c>
      <c r="AU40" s="38">
        <v>0.24616863072621248</v>
      </c>
      <c r="AV40" s="26">
        <v>645.10311723731763</v>
      </c>
      <c r="AY40" s="41" t="s">
        <v>86</v>
      </c>
      <c r="AZ40" s="29">
        <v>199</v>
      </c>
      <c r="BA40" s="38">
        <v>0</v>
      </c>
      <c r="BB40" s="26">
        <v>0</v>
      </c>
      <c r="BE40" s="41" t="s">
        <v>86</v>
      </c>
      <c r="BF40" s="29">
        <v>199</v>
      </c>
      <c r="BG40" s="38">
        <v>0</v>
      </c>
      <c r="BH40" s="26">
        <v>0</v>
      </c>
      <c r="BM40" s="43" t="s">
        <v>34</v>
      </c>
      <c r="BN40">
        <v>180</v>
      </c>
      <c r="BQ40" s="43" t="s">
        <v>34</v>
      </c>
      <c r="BR40">
        <v>960</v>
      </c>
    </row>
    <row r="41" spans="1:70" x14ac:dyDescent="0.35">
      <c r="A41" s="13" t="s">
        <v>84</v>
      </c>
      <c r="B41" s="31">
        <v>99</v>
      </c>
      <c r="C41" s="23">
        <v>0</v>
      </c>
      <c r="F41" s="13" t="s">
        <v>84</v>
      </c>
      <c r="G41" s="31">
        <v>99</v>
      </c>
      <c r="H41" s="23">
        <v>0</v>
      </c>
      <c r="J41" s="13" t="s">
        <v>84</v>
      </c>
      <c r="K41" s="31">
        <v>99</v>
      </c>
      <c r="L41" s="23">
        <v>0</v>
      </c>
      <c r="O41" s="13" t="s">
        <v>88</v>
      </c>
      <c r="P41" s="31">
        <v>99</v>
      </c>
      <c r="Q41" s="25" t="s">
        <v>149</v>
      </c>
      <c r="T41" s="13" t="s">
        <v>88</v>
      </c>
      <c r="U41" s="31">
        <v>99</v>
      </c>
      <c r="V41" s="25" t="s">
        <v>149</v>
      </c>
      <c r="AA41" s="41" t="s">
        <v>84</v>
      </c>
      <c r="AB41" s="29">
        <v>115</v>
      </c>
      <c r="AC41" s="38">
        <v>0.43137254901960775</v>
      </c>
      <c r="AD41" s="26">
        <v>0</v>
      </c>
      <c r="AG41" s="41" t="s">
        <v>84</v>
      </c>
      <c r="AH41" s="29">
        <v>115</v>
      </c>
      <c r="AI41" s="38">
        <v>0.33333333333333331</v>
      </c>
      <c r="AJ41" s="26">
        <v>0</v>
      </c>
      <c r="AM41" s="41" t="s">
        <v>84</v>
      </c>
      <c r="AN41" s="29">
        <v>115</v>
      </c>
      <c r="AO41" s="38">
        <v>0.43333333333333329</v>
      </c>
      <c r="AP41" s="26">
        <v>0</v>
      </c>
      <c r="AS41" s="41" t="s">
        <v>84</v>
      </c>
      <c r="AT41" s="29">
        <v>115</v>
      </c>
      <c r="AU41" s="38">
        <v>0.49056603773584906</v>
      </c>
      <c r="AV41" s="26">
        <v>0</v>
      </c>
      <c r="AY41" s="36" t="s">
        <v>88</v>
      </c>
      <c r="AZ41" s="18">
        <v>229</v>
      </c>
      <c r="BA41" s="18">
        <v>0.34285714285714286</v>
      </c>
      <c r="BB41" s="18">
        <v>0</v>
      </c>
      <c r="BE41" s="36" t="s">
        <v>88</v>
      </c>
      <c r="BF41" s="18">
        <v>229</v>
      </c>
      <c r="BG41" s="18">
        <v>0.34285714285714286</v>
      </c>
      <c r="BH41" s="18">
        <v>0</v>
      </c>
      <c r="BM41" s="43" t="s">
        <v>36</v>
      </c>
      <c r="BN41">
        <v>180</v>
      </c>
      <c r="BQ41" s="43" t="s">
        <v>36</v>
      </c>
      <c r="BR41">
        <v>720</v>
      </c>
    </row>
    <row r="42" spans="1:70" x14ac:dyDescent="0.35">
      <c r="A42" s="13" t="s">
        <v>86</v>
      </c>
      <c r="B42" s="31">
        <v>99</v>
      </c>
      <c r="C42" s="23">
        <v>0</v>
      </c>
      <c r="F42" s="13" t="s">
        <v>86</v>
      </c>
      <c r="G42" s="31">
        <v>99</v>
      </c>
      <c r="H42" s="23">
        <v>0</v>
      </c>
      <c r="J42" s="13" t="s">
        <v>86</v>
      </c>
      <c r="K42" s="31">
        <v>99</v>
      </c>
      <c r="L42" s="23">
        <v>0</v>
      </c>
      <c r="O42" s="4"/>
      <c r="P42" s="18"/>
      <c r="Q42" s="24"/>
      <c r="T42" s="4"/>
      <c r="U42" s="18"/>
      <c r="V42" s="24"/>
      <c r="AA42" s="41" t="s">
        <v>86</v>
      </c>
      <c r="AB42" s="29">
        <v>199</v>
      </c>
      <c r="AC42" s="38" t="e">
        <v>#N/A</v>
      </c>
      <c r="AD42" s="26" t="e">
        <v>#N/A</v>
      </c>
      <c r="AG42" s="41" t="s">
        <v>86</v>
      </c>
      <c r="AH42" s="29">
        <v>199</v>
      </c>
      <c r="AI42" s="38">
        <v>0</v>
      </c>
      <c r="AJ42" s="26" t="e">
        <v>#N/A</v>
      </c>
      <c r="AM42" s="41" t="s">
        <v>86</v>
      </c>
      <c r="AN42" s="29">
        <v>199</v>
      </c>
      <c r="AO42" s="38">
        <v>0</v>
      </c>
      <c r="AP42" s="26" t="e">
        <v>#N/A</v>
      </c>
      <c r="AS42" s="41" t="s">
        <v>86</v>
      </c>
      <c r="AT42" s="29">
        <v>199</v>
      </c>
      <c r="AU42" s="38">
        <v>0</v>
      </c>
      <c r="AV42" s="26" t="e">
        <v>#N/A</v>
      </c>
      <c r="AY42" s="37"/>
      <c r="AZ42" s="29"/>
      <c r="BA42" s="38"/>
      <c r="BB42" s="26"/>
      <c r="BE42" s="37"/>
      <c r="BF42" s="29"/>
      <c r="BG42" s="38"/>
      <c r="BH42" s="26"/>
      <c r="BM42" s="43" t="s">
        <v>30</v>
      </c>
      <c r="BN42">
        <v>20</v>
      </c>
      <c r="BQ42" s="43" t="s">
        <v>30</v>
      </c>
      <c r="BR42">
        <v>500</v>
      </c>
    </row>
    <row r="43" spans="1:70" x14ac:dyDescent="0.35">
      <c r="A43" s="13" t="s">
        <v>88</v>
      </c>
      <c r="B43" s="31">
        <v>99</v>
      </c>
      <c r="C43" s="25" t="s">
        <v>149</v>
      </c>
      <c r="F43" s="13" t="s">
        <v>88</v>
      </c>
      <c r="G43" s="31">
        <v>99</v>
      </c>
      <c r="H43" s="25" t="s">
        <v>149</v>
      </c>
      <c r="J43" s="13" t="s">
        <v>88</v>
      </c>
      <c r="K43" s="31">
        <v>99</v>
      </c>
      <c r="L43" s="25" t="s">
        <v>149</v>
      </c>
      <c r="O43" s="6" t="s">
        <v>91</v>
      </c>
      <c r="P43" s="29">
        <v>115</v>
      </c>
      <c r="Q43" s="23">
        <v>5465.1596141411201</v>
      </c>
      <c r="T43" s="6" t="s">
        <v>91</v>
      </c>
      <c r="U43" s="29">
        <v>115</v>
      </c>
      <c r="V43" s="23">
        <v>5465.1596141411201</v>
      </c>
      <c r="AA43" s="41" t="s">
        <v>88</v>
      </c>
      <c r="AB43" s="29">
        <v>229</v>
      </c>
      <c r="AC43" s="38">
        <v>0.34482758620689657</v>
      </c>
      <c r="AD43" s="26">
        <v>0</v>
      </c>
      <c r="AG43" s="41" t="s">
        <v>88</v>
      </c>
      <c r="AH43" s="29">
        <v>229</v>
      </c>
      <c r="AI43" s="38">
        <v>0.1875</v>
      </c>
      <c r="AJ43" s="26">
        <v>0</v>
      </c>
      <c r="AM43" s="41" t="s">
        <v>88</v>
      </c>
      <c r="AN43" s="29">
        <v>229</v>
      </c>
      <c r="AO43" s="38">
        <v>0.42857142857142855</v>
      </c>
      <c r="AP43" s="26">
        <v>0</v>
      </c>
      <c r="AS43" s="41" t="s">
        <v>88</v>
      </c>
      <c r="AT43" s="29">
        <v>229</v>
      </c>
      <c r="AU43" s="38">
        <v>0.35714285714285715</v>
      </c>
      <c r="AV43" s="26">
        <v>0</v>
      </c>
      <c r="AY43" s="37" t="s">
        <v>91</v>
      </c>
      <c r="AZ43" s="29">
        <v>199</v>
      </c>
      <c r="BA43" s="38">
        <v>0.14599266187975066</v>
      </c>
      <c r="BB43" s="26">
        <v>797.87319966617315</v>
      </c>
      <c r="BE43" s="37" t="s">
        <v>91</v>
      </c>
      <c r="BF43" s="29">
        <v>199</v>
      </c>
      <c r="BG43" s="38">
        <v>0.14599266187975066</v>
      </c>
      <c r="BH43" s="26">
        <v>797.87319966617315</v>
      </c>
      <c r="BM43" s="43" t="s">
        <v>32</v>
      </c>
      <c r="BN43">
        <v>20</v>
      </c>
      <c r="BQ43" s="43" t="s">
        <v>32</v>
      </c>
      <c r="BR43">
        <v>360</v>
      </c>
    </row>
    <row r="44" spans="1:70" x14ac:dyDescent="0.35">
      <c r="A44" s="4"/>
      <c r="B44" s="18"/>
      <c r="C44" s="24"/>
      <c r="F44" s="4"/>
      <c r="G44" s="18"/>
      <c r="H44" s="24"/>
      <c r="J44" s="4"/>
      <c r="K44" s="18"/>
      <c r="L44" s="24"/>
      <c r="O44" s="6" t="s">
        <v>93</v>
      </c>
      <c r="P44" s="29">
        <v>199</v>
      </c>
      <c r="Q44" s="23">
        <v>4387.5057112264067</v>
      </c>
      <c r="T44" s="6" t="s">
        <v>93</v>
      </c>
      <c r="U44" s="29">
        <v>199</v>
      </c>
      <c r="V44" s="23">
        <v>4387.5057112264067</v>
      </c>
      <c r="AA44" s="36"/>
      <c r="AB44" s="18"/>
      <c r="AC44" s="18"/>
      <c r="AD44" s="18"/>
      <c r="AG44" s="36"/>
      <c r="AH44" s="18"/>
      <c r="AI44" s="18"/>
      <c r="AJ44" s="18"/>
      <c r="AM44" s="36"/>
      <c r="AN44" s="18"/>
      <c r="AO44" s="18"/>
      <c r="AP44" s="18"/>
      <c r="AS44" s="36"/>
      <c r="AT44" s="18"/>
      <c r="AU44" s="18"/>
      <c r="AV44" s="18"/>
      <c r="AY44" s="37" t="s">
        <v>93</v>
      </c>
      <c r="AZ44" s="29">
        <v>169</v>
      </c>
      <c r="BA44" s="38">
        <v>0.14482008415577721</v>
      </c>
      <c r="BB44" s="26">
        <v>635.39894633376139</v>
      </c>
      <c r="BE44" s="37" t="s">
        <v>93</v>
      </c>
      <c r="BF44" s="29">
        <v>169</v>
      </c>
      <c r="BG44" s="38">
        <v>0.14482008415577721</v>
      </c>
      <c r="BH44" s="26">
        <v>635.39894633376139</v>
      </c>
      <c r="BM44" s="43" t="s">
        <v>159</v>
      </c>
      <c r="BN44">
        <v>1656</v>
      </c>
      <c r="BQ44" s="43" t="s">
        <v>159</v>
      </c>
      <c r="BR44">
        <v>432</v>
      </c>
    </row>
    <row r="45" spans="1:70" x14ac:dyDescent="0.35">
      <c r="A45" s="6" t="s">
        <v>91</v>
      </c>
      <c r="B45" s="29">
        <v>115</v>
      </c>
      <c r="C45" s="23">
        <v>10325.674760108324</v>
      </c>
      <c r="F45" s="6" t="s">
        <v>91</v>
      </c>
      <c r="G45" s="29">
        <v>115</v>
      </c>
      <c r="H45" s="23">
        <v>8247.2317506441213</v>
      </c>
      <c r="J45" s="6" t="s">
        <v>91</v>
      </c>
      <c r="K45" s="29">
        <v>115</v>
      </c>
      <c r="L45" s="23">
        <v>8247.2317506441213</v>
      </c>
      <c r="O45" s="6" t="s">
        <v>95</v>
      </c>
      <c r="P45" s="29">
        <v>229</v>
      </c>
      <c r="Q45" s="23">
        <v>0</v>
      </c>
      <c r="T45" s="6" t="s">
        <v>95</v>
      </c>
      <c r="U45" s="29">
        <v>229</v>
      </c>
      <c r="V45" s="23">
        <v>0</v>
      </c>
      <c r="AA45" s="37" t="s">
        <v>91</v>
      </c>
      <c r="AB45" s="29">
        <v>199</v>
      </c>
      <c r="AC45" s="38">
        <v>0.17842567267251433</v>
      </c>
      <c r="AD45" s="26">
        <v>1477.0509395255797</v>
      </c>
      <c r="AG45" s="37" t="s">
        <v>91</v>
      </c>
      <c r="AH45" s="29">
        <v>199</v>
      </c>
      <c r="AI45" s="38">
        <v>0.17856105145015402</v>
      </c>
      <c r="AJ45" s="26">
        <v>1843.7633420972593</v>
      </c>
      <c r="AM45" s="37" t="s">
        <v>91</v>
      </c>
      <c r="AN45" s="29">
        <v>199</v>
      </c>
      <c r="AO45" s="38">
        <v>0.19809098952037979</v>
      </c>
      <c r="AP45" s="26">
        <v>1633.702298288988</v>
      </c>
      <c r="AS45" s="37" t="s">
        <v>91</v>
      </c>
      <c r="AT45" s="29">
        <v>199</v>
      </c>
      <c r="AU45" s="38">
        <v>0.17269530989037232</v>
      </c>
      <c r="AV45" s="26">
        <v>1424.2582429152044</v>
      </c>
      <c r="AY45" s="37" t="s">
        <v>95</v>
      </c>
      <c r="AZ45" s="29">
        <v>45</v>
      </c>
      <c r="BA45" s="38">
        <v>0.59051626537851909</v>
      </c>
      <c r="BB45" s="26">
        <v>0</v>
      </c>
      <c r="BE45" s="37" t="s">
        <v>95</v>
      </c>
      <c r="BF45" s="29">
        <v>45</v>
      </c>
      <c r="BG45" s="38">
        <v>0.59051626537851909</v>
      </c>
      <c r="BH45" s="26">
        <v>0</v>
      </c>
      <c r="BM45" s="43" t="s">
        <v>124</v>
      </c>
      <c r="BN45">
        <v>1080</v>
      </c>
      <c r="BQ45" s="43" t="s">
        <v>124</v>
      </c>
      <c r="BR45">
        <v>216</v>
      </c>
    </row>
    <row r="46" spans="1:70" x14ac:dyDescent="0.35">
      <c r="A46" s="6" t="s">
        <v>93</v>
      </c>
      <c r="B46" s="29">
        <v>199</v>
      </c>
      <c r="C46" s="23">
        <v>5850</v>
      </c>
      <c r="F46" s="6" t="s">
        <v>93</v>
      </c>
      <c r="G46" s="29">
        <v>199</v>
      </c>
      <c r="H46" s="23">
        <v>3476.1162869098248</v>
      </c>
      <c r="J46" s="6" t="s">
        <v>93</v>
      </c>
      <c r="K46" s="29">
        <v>199</v>
      </c>
      <c r="L46" s="23">
        <v>3476.1162869098248</v>
      </c>
      <c r="O46" s="6" t="s">
        <v>97</v>
      </c>
      <c r="P46" s="29">
        <v>130</v>
      </c>
      <c r="Q46" s="23">
        <v>3392.5836404954844</v>
      </c>
      <c r="T46" s="6" t="s">
        <v>97</v>
      </c>
      <c r="U46" s="29">
        <v>130</v>
      </c>
      <c r="V46" s="23">
        <v>3392.5836404954844</v>
      </c>
      <c r="AA46" s="37" t="s">
        <v>93</v>
      </c>
      <c r="AB46" s="29">
        <v>169</v>
      </c>
      <c r="AC46" s="38">
        <v>0.20708343185163303</v>
      </c>
      <c r="AD46" s="26">
        <v>1122.5992840677027</v>
      </c>
      <c r="AG46" s="37" t="s">
        <v>93</v>
      </c>
      <c r="AH46" s="29">
        <v>169</v>
      </c>
      <c r="AI46" s="38">
        <v>0.21629229479987158</v>
      </c>
      <c r="AJ46" s="26">
        <v>1265.3099245792487</v>
      </c>
      <c r="AM46" s="37" t="s">
        <v>93</v>
      </c>
      <c r="AN46" s="29">
        <v>169</v>
      </c>
      <c r="AO46" s="38">
        <v>0.19539029440893152</v>
      </c>
      <c r="AP46" s="26">
        <v>679.1993846989925</v>
      </c>
      <c r="AS46" s="37" t="s">
        <v>93</v>
      </c>
      <c r="AT46" s="29">
        <v>169</v>
      </c>
      <c r="AU46" s="38">
        <v>0.1700765505143747</v>
      </c>
      <c r="AV46" s="26">
        <v>591.20586726445947</v>
      </c>
      <c r="AY46" s="37" t="s">
        <v>97</v>
      </c>
      <c r="AZ46" s="29">
        <v>130</v>
      </c>
      <c r="BA46" s="38">
        <v>0.16744559218267233</v>
      </c>
      <c r="BB46" s="26">
        <v>568.0731767120127</v>
      </c>
      <c r="BE46" s="37" t="s">
        <v>97</v>
      </c>
      <c r="BF46" s="29">
        <v>130</v>
      </c>
      <c r="BG46" s="38">
        <v>0.16744559218267233</v>
      </c>
      <c r="BH46" s="26">
        <v>568.0731767120127</v>
      </c>
      <c r="BM46" s="43" t="s">
        <v>127</v>
      </c>
      <c r="BN46">
        <v>180</v>
      </c>
      <c r="BQ46" s="43" t="s">
        <v>167</v>
      </c>
      <c r="BR46">
        <v>360</v>
      </c>
    </row>
    <row r="47" spans="1:70" x14ac:dyDescent="0.35">
      <c r="A47" s="6" t="s">
        <v>95</v>
      </c>
      <c r="B47" s="29">
        <v>229</v>
      </c>
      <c r="C47" s="23">
        <v>0</v>
      </c>
      <c r="F47" s="6" t="s">
        <v>95</v>
      </c>
      <c r="G47" s="29">
        <v>229</v>
      </c>
      <c r="H47" s="23">
        <v>0</v>
      </c>
      <c r="J47" s="6" t="s">
        <v>95</v>
      </c>
      <c r="K47" s="29">
        <v>229</v>
      </c>
      <c r="L47" s="23">
        <v>0</v>
      </c>
      <c r="O47" s="6" t="s">
        <v>99</v>
      </c>
      <c r="P47" s="29">
        <v>199</v>
      </c>
      <c r="Q47" s="23">
        <v>1444.1788093079538</v>
      </c>
      <c r="T47" s="6" t="s">
        <v>99</v>
      </c>
      <c r="U47" s="29">
        <v>199</v>
      </c>
      <c r="V47" s="23">
        <v>1444.1788093079538</v>
      </c>
      <c r="AA47" s="37" t="s">
        <v>95</v>
      </c>
      <c r="AB47" s="29">
        <v>45</v>
      </c>
      <c r="AC47" s="38">
        <v>0.23459619792368885</v>
      </c>
      <c r="AD47" s="26">
        <v>0</v>
      </c>
      <c r="AG47" s="37" t="s">
        <v>95</v>
      </c>
      <c r="AH47" s="29">
        <v>45</v>
      </c>
      <c r="AI47" s="38">
        <v>0.23076923076923073</v>
      </c>
      <c r="AJ47" s="26">
        <v>0</v>
      </c>
      <c r="AM47" s="37" t="s">
        <v>95</v>
      </c>
      <c r="AN47" s="29">
        <v>45</v>
      </c>
      <c r="AO47" s="38">
        <v>0.24050632911392397</v>
      </c>
      <c r="AP47" s="26">
        <v>0</v>
      </c>
      <c r="AS47" s="37" t="s">
        <v>95</v>
      </c>
      <c r="AT47" s="29">
        <v>45</v>
      </c>
      <c r="AU47" s="38">
        <v>0.19658432130359849</v>
      </c>
      <c r="AV47" s="26">
        <v>0</v>
      </c>
      <c r="AY47" s="42" t="s">
        <v>99</v>
      </c>
      <c r="AZ47" s="29">
        <v>249</v>
      </c>
      <c r="BA47" s="38">
        <v>0.14862026862026861</v>
      </c>
      <c r="BB47" s="26">
        <v>214.63424257504778</v>
      </c>
      <c r="BE47" s="42" t="s">
        <v>99</v>
      </c>
      <c r="BF47" s="29">
        <v>249</v>
      </c>
      <c r="BG47" s="38">
        <v>0.14862026862026861</v>
      </c>
      <c r="BH47" s="26">
        <v>214.63424257504778</v>
      </c>
      <c r="BM47" s="43" t="s">
        <v>160</v>
      </c>
      <c r="BN47">
        <v>96</v>
      </c>
      <c r="BQ47" s="43" t="s">
        <v>127</v>
      </c>
      <c r="BR47">
        <v>252</v>
      </c>
    </row>
    <row r="48" spans="1:70" x14ac:dyDescent="0.35">
      <c r="A48" s="6" t="s">
        <v>97</v>
      </c>
      <c r="B48" s="29">
        <v>130</v>
      </c>
      <c r="C48" s="23">
        <v>4200</v>
      </c>
      <c r="F48" s="6" t="s">
        <v>97</v>
      </c>
      <c r="G48" s="29">
        <v>130</v>
      </c>
      <c r="H48" s="23">
        <v>3426.950746564703</v>
      </c>
      <c r="J48" s="6" t="s">
        <v>97</v>
      </c>
      <c r="K48" s="29">
        <v>130</v>
      </c>
      <c r="L48" s="23">
        <v>3426.950746564703</v>
      </c>
      <c r="O48" s="16" t="s">
        <v>101</v>
      </c>
      <c r="P48" s="29">
        <v>45</v>
      </c>
      <c r="Q48" s="23">
        <v>8466.2796211996902</v>
      </c>
      <c r="T48" s="16" t="s">
        <v>101</v>
      </c>
      <c r="U48" s="29">
        <v>45</v>
      </c>
      <c r="V48" s="23">
        <v>8466.2796211996902</v>
      </c>
      <c r="AA48" s="37" t="s">
        <v>97</v>
      </c>
      <c r="AB48" s="29">
        <v>130</v>
      </c>
      <c r="AC48" s="38">
        <v>0.17821497706858588</v>
      </c>
      <c r="AD48" s="26">
        <v>644.44155844155853</v>
      </c>
      <c r="AG48" s="37" t="s">
        <v>97</v>
      </c>
      <c r="AH48" s="29">
        <v>130</v>
      </c>
      <c r="AI48" s="38">
        <v>0.21455549069311272</v>
      </c>
      <c r="AJ48" s="26">
        <v>901.13306091107347</v>
      </c>
      <c r="AM48" s="37" t="s">
        <v>97</v>
      </c>
      <c r="AN48" s="29">
        <v>130</v>
      </c>
      <c r="AO48" s="38">
        <v>0.25037602424514532</v>
      </c>
      <c r="AP48" s="26">
        <v>858.02630320880291</v>
      </c>
      <c r="AS48" s="37" t="s">
        <v>97</v>
      </c>
      <c r="AT48" s="29">
        <v>130</v>
      </c>
      <c r="AU48" s="38">
        <v>0.1725294221015409</v>
      </c>
      <c r="AV48" s="26">
        <v>591.24983187525231</v>
      </c>
      <c r="AY48" s="36" t="s">
        <v>101</v>
      </c>
      <c r="AZ48" s="36">
        <v>199</v>
      </c>
      <c r="BA48" s="36">
        <v>0.13053352693696713</v>
      </c>
      <c r="BB48" s="36">
        <v>1105.1333389897657</v>
      </c>
      <c r="BE48" s="36" t="s">
        <v>101</v>
      </c>
      <c r="BF48" s="36">
        <v>199</v>
      </c>
      <c r="BG48" s="36">
        <v>0.13053352693696713</v>
      </c>
      <c r="BH48" s="36">
        <v>1105.1333389897657</v>
      </c>
      <c r="BM48" s="43" t="s">
        <v>122</v>
      </c>
      <c r="BN48">
        <v>144</v>
      </c>
      <c r="BQ48" s="43" t="s">
        <v>160</v>
      </c>
      <c r="BR48">
        <v>96</v>
      </c>
    </row>
    <row r="49" spans="1:70" x14ac:dyDescent="0.35">
      <c r="A49" s="6" t="s">
        <v>99</v>
      </c>
      <c r="B49" s="29">
        <v>199</v>
      </c>
      <c r="C49" s="23">
        <v>1200</v>
      </c>
      <c r="F49" s="6" t="s">
        <v>99</v>
      </c>
      <c r="G49" s="29">
        <v>199</v>
      </c>
      <c r="H49" s="23">
        <v>1374.066509428274</v>
      </c>
      <c r="J49" s="6" t="s">
        <v>99</v>
      </c>
      <c r="K49" s="29">
        <v>199</v>
      </c>
      <c r="L49" s="23">
        <v>1374.066509428274</v>
      </c>
      <c r="O49" s="4"/>
      <c r="P49" s="18"/>
      <c r="Q49" s="24"/>
      <c r="T49" s="4"/>
      <c r="U49" s="18"/>
      <c r="V49" s="24"/>
      <c r="AA49" s="37" t="s">
        <v>99</v>
      </c>
      <c r="AB49" s="29">
        <v>249</v>
      </c>
      <c r="AC49" s="38">
        <v>0.18596060492810074</v>
      </c>
      <c r="AD49" s="26">
        <v>237.16038961038953</v>
      </c>
      <c r="AG49" s="37" t="s">
        <v>99</v>
      </c>
      <c r="AH49" s="29">
        <v>249</v>
      </c>
      <c r="AI49" s="38">
        <v>0.19176111647949887</v>
      </c>
      <c r="AJ49" s="26">
        <v>230.11333977539863</v>
      </c>
      <c r="AM49" s="37" t="s">
        <v>99</v>
      </c>
      <c r="AN49" s="29">
        <v>249</v>
      </c>
      <c r="AO49" s="38">
        <v>0.1652126200274347</v>
      </c>
      <c r="AP49" s="26">
        <v>227.01312811459695</v>
      </c>
      <c r="AS49" s="37" t="s">
        <v>99</v>
      </c>
      <c r="AT49" s="29">
        <v>249</v>
      </c>
      <c r="AU49" s="38">
        <v>0.17398782903406451</v>
      </c>
      <c r="AV49" s="26">
        <v>239.07084892384032</v>
      </c>
      <c r="AY49" s="37"/>
      <c r="AZ49" s="29"/>
      <c r="BA49" s="38"/>
      <c r="BB49" s="26"/>
      <c r="BE49" s="37"/>
      <c r="BF49" s="29"/>
      <c r="BG49" s="38"/>
      <c r="BH49" s="26"/>
      <c r="BM49" s="43" t="s">
        <v>120</v>
      </c>
      <c r="BN49">
        <v>144</v>
      </c>
      <c r="BQ49" s="43" t="s">
        <v>42</v>
      </c>
      <c r="BR49">
        <v>544</v>
      </c>
    </row>
    <row r="50" spans="1:70" x14ac:dyDescent="0.35">
      <c r="A50" s="16" t="s">
        <v>101</v>
      </c>
      <c r="B50" s="29">
        <v>45</v>
      </c>
      <c r="C50" s="23">
        <v>12419.33434955763</v>
      </c>
      <c r="F50" s="16" t="s">
        <v>101</v>
      </c>
      <c r="G50" s="29">
        <v>45</v>
      </c>
      <c r="H50" s="23">
        <v>13400</v>
      </c>
      <c r="J50" s="16" t="s">
        <v>101</v>
      </c>
      <c r="K50" s="29">
        <v>45</v>
      </c>
      <c r="L50" s="23">
        <v>13400</v>
      </c>
      <c r="O50" s="6" t="s">
        <v>104</v>
      </c>
      <c r="P50" s="29">
        <v>249</v>
      </c>
      <c r="Q50" s="23">
        <v>4046.7879594081405</v>
      </c>
      <c r="T50" s="6" t="s">
        <v>104</v>
      </c>
      <c r="U50" s="29">
        <v>249</v>
      </c>
      <c r="V50" s="23">
        <v>4046.7879594081405</v>
      </c>
      <c r="AA50" s="42" t="s">
        <v>101</v>
      </c>
      <c r="AB50" s="29">
        <v>199</v>
      </c>
      <c r="AC50" s="38">
        <v>0.20053808401025275</v>
      </c>
      <c r="AD50" s="26">
        <v>2682.2572490435909</v>
      </c>
      <c r="AG50" s="42" t="s">
        <v>101</v>
      </c>
      <c r="AH50" s="29">
        <v>199</v>
      </c>
      <c r="AI50" s="38">
        <v>0.18067408781694494</v>
      </c>
      <c r="AJ50" s="26">
        <v>2243.851904899976</v>
      </c>
      <c r="AM50" s="42" t="s">
        <v>101</v>
      </c>
      <c r="AN50" s="29">
        <v>199</v>
      </c>
      <c r="AO50" s="38">
        <v>0.17277585235518056</v>
      </c>
      <c r="AP50" s="26">
        <v>2315.1964215594194</v>
      </c>
      <c r="AS50" s="42" t="s">
        <v>101</v>
      </c>
      <c r="AT50" s="29">
        <v>199</v>
      </c>
      <c r="AU50" s="38">
        <v>0.19293639959396544</v>
      </c>
      <c r="AV50" s="26">
        <v>2585.3477545591368</v>
      </c>
      <c r="AY50" s="37" t="s">
        <v>104</v>
      </c>
      <c r="AZ50" s="29">
        <v>249</v>
      </c>
      <c r="BA50" s="38">
        <v>0.15344927369137981</v>
      </c>
      <c r="BB50" s="26">
        <v>620.97667315420017</v>
      </c>
      <c r="BE50" s="37" t="s">
        <v>104</v>
      </c>
      <c r="BF50" s="29">
        <v>249</v>
      </c>
      <c r="BG50" s="38">
        <v>0.15344927369137981</v>
      </c>
      <c r="BH50" s="26">
        <v>620.97667315420017</v>
      </c>
      <c r="BM50" s="43" t="s">
        <v>161</v>
      </c>
      <c r="BN50">
        <v>64</v>
      </c>
      <c r="BQ50" s="43" t="s">
        <v>115</v>
      </c>
      <c r="BR50">
        <v>3780</v>
      </c>
    </row>
    <row r="51" spans="1:70" x14ac:dyDescent="0.35">
      <c r="A51" s="4"/>
      <c r="B51" s="18"/>
      <c r="C51" s="24"/>
      <c r="F51" s="4"/>
      <c r="G51" s="18"/>
      <c r="H51" s="24"/>
      <c r="J51" s="4"/>
      <c r="K51" s="18"/>
      <c r="L51" s="24"/>
      <c r="O51" s="6" t="s">
        <v>106</v>
      </c>
      <c r="P51" s="29">
        <v>249</v>
      </c>
      <c r="Q51" s="23">
        <v>2423.3510727684975</v>
      </c>
      <c r="T51" s="6" t="s">
        <v>106</v>
      </c>
      <c r="U51" s="29">
        <v>249</v>
      </c>
      <c r="V51" s="23">
        <v>2423.3510727684975</v>
      </c>
      <c r="AA51" s="36"/>
      <c r="AB51" s="36"/>
      <c r="AC51" s="36"/>
      <c r="AD51" s="36"/>
      <c r="AG51" s="36"/>
      <c r="AH51" s="36"/>
      <c r="AI51" s="36"/>
      <c r="AJ51" s="36"/>
      <c r="AM51" s="36"/>
      <c r="AN51" s="36"/>
      <c r="AO51" s="36"/>
      <c r="AP51" s="36"/>
      <c r="AS51" s="36"/>
      <c r="AT51" s="36"/>
      <c r="AU51" s="36"/>
      <c r="AV51" s="36"/>
      <c r="AY51" s="37" t="s">
        <v>106</v>
      </c>
      <c r="AZ51" s="29">
        <v>249</v>
      </c>
      <c r="BA51" s="38">
        <v>0.12932092186660296</v>
      </c>
      <c r="BB51" s="26">
        <v>313.38999473684333</v>
      </c>
      <c r="BE51" s="37" t="s">
        <v>106</v>
      </c>
      <c r="BF51" s="29">
        <v>249</v>
      </c>
      <c r="BG51" s="38">
        <v>0.12932092186660296</v>
      </c>
      <c r="BH51" s="26">
        <v>313.38999473684333</v>
      </c>
      <c r="BM51" s="43" t="s">
        <v>42</v>
      </c>
      <c r="BN51">
        <v>128</v>
      </c>
    </row>
    <row r="52" spans="1:70" x14ac:dyDescent="0.35">
      <c r="A52" s="6" t="s">
        <v>104</v>
      </c>
      <c r="B52" s="29">
        <v>249</v>
      </c>
      <c r="C52" s="23">
        <v>6350</v>
      </c>
      <c r="F52" s="6" t="s">
        <v>104</v>
      </c>
      <c r="G52" s="29">
        <v>249</v>
      </c>
      <c r="H52" s="23">
        <v>4729.6419251093103</v>
      </c>
      <c r="J52" s="6" t="s">
        <v>104</v>
      </c>
      <c r="K52" s="29">
        <v>249</v>
      </c>
      <c r="L52" s="23">
        <v>4729.6419251093103</v>
      </c>
      <c r="O52" s="6" t="s">
        <v>108</v>
      </c>
      <c r="P52" s="29">
        <v>199</v>
      </c>
      <c r="Q52" s="23">
        <v>711.76236912272464</v>
      </c>
      <c r="T52" s="6" t="s">
        <v>108</v>
      </c>
      <c r="U52" s="29">
        <v>199</v>
      </c>
      <c r="V52" s="23">
        <v>711.76236912272464</v>
      </c>
      <c r="AA52" s="37" t="s">
        <v>104</v>
      </c>
      <c r="AB52" s="29">
        <v>249</v>
      </c>
      <c r="AC52" s="38">
        <v>0.19141840760744944</v>
      </c>
      <c r="AD52" s="26">
        <v>754.32012612858091</v>
      </c>
      <c r="AG52" s="37" t="s">
        <v>104</v>
      </c>
      <c r="AH52" s="29">
        <v>249</v>
      </c>
      <c r="AI52" s="38">
        <v>0.2372289840650286</v>
      </c>
      <c r="AJ52" s="26">
        <v>1506.4040488129317</v>
      </c>
      <c r="AM52" s="37" t="s">
        <v>104</v>
      </c>
      <c r="AN52" s="29">
        <v>249</v>
      </c>
      <c r="AO52" s="38">
        <v>0.21084616812024495</v>
      </c>
      <c r="AP52" s="26">
        <v>997.22687649015666</v>
      </c>
      <c r="AS52" s="37" t="s">
        <v>104</v>
      </c>
      <c r="AT52" s="29">
        <v>249</v>
      </c>
      <c r="AU52" s="38">
        <v>0.22311080645139741</v>
      </c>
      <c r="AV52" s="26">
        <v>1055.2342241374779</v>
      </c>
      <c r="AY52" s="32" t="s">
        <v>108</v>
      </c>
      <c r="AZ52" s="29">
        <v>199</v>
      </c>
      <c r="BA52" s="38">
        <v>0.16790719303752166</v>
      </c>
      <c r="BB52" s="26">
        <v>119.51002150913307</v>
      </c>
      <c r="BE52" s="32" t="s">
        <v>108</v>
      </c>
      <c r="BF52" s="29">
        <v>199</v>
      </c>
      <c r="BG52" s="38">
        <v>0.16790719303752166</v>
      </c>
      <c r="BH52" s="26">
        <v>119.51002150913307</v>
      </c>
      <c r="BM52" s="43" t="s">
        <v>115</v>
      </c>
      <c r="BN52">
        <v>1260</v>
      </c>
    </row>
    <row r="53" spans="1:70" x14ac:dyDescent="0.35">
      <c r="A53" s="6" t="s">
        <v>106</v>
      </c>
      <c r="B53" s="29">
        <v>249</v>
      </c>
      <c r="C53" s="23">
        <v>4250</v>
      </c>
      <c r="F53" s="6" t="s">
        <v>106</v>
      </c>
      <c r="G53" s="29">
        <v>249</v>
      </c>
      <c r="H53" s="23">
        <v>4573.2707200441755</v>
      </c>
      <c r="J53" s="6" t="s">
        <v>106</v>
      </c>
      <c r="K53" s="29">
        <v>249</v>
      </c>
      <c r="L53" s="23">
        <v>4573.2707200441755</v>
      </c>
      <c r="O53" s="15" t="s">
        <v>110</v>
      </c>
      <c r="P53" s="29">
        <v>199</v>
      </c>
      <c r="Q53" s="23">
        <v>2173.7624049943283</v>
      </c>
      <c r="T53" s="15" t="s">
        <v>110</v>
      </c>
      <c r="U53" s="29">
        <v>199</v>
      </c>
      <c r="V53" s="23">
        <v>2173.7624049943283</v>
      </c>
      <c r="AA53" s="37" t="s">
        <v>106</v>
      </c>
      <c r="AB53" s="29">
        <v>249</v>
      </c>
      <c r="AC53" s="38">
        <v>0.20416375623780628</v>
      </c>
      <c r="AD53" s="26">
        <v>793.39811011022277</v>
      </c>
      <c r="AG53" s="37" t="s">
        <v>106</v>
      </c>
      <c r="AH53" s="29">
        <v>249</v>
      </c>
      <c r="AI53" s="38">
        <v>0.23608850086837518</v>
      </c>
      <c r="AJ53" s="26">
        <v>1003.3761286905946</v>
      </c>
      <c r="AM53" s="37" t="s">
        <v>106</v>
      </c>
      <c r="AN53" s="29">
        <v>249</v>
      </c>
      <c r="AO53" s="38">
        <v>0.19842378555048884</v>
      </c>
      <c r="AP53" s="26">
        <v>907.44568861837513</v>
      </c>
      <c r="AS53" s="37" t="s">
        <v>106</v>
      </c>
      <c r="AT53" s="29">
        <v>249</v>
      </c>
      <c r="AU53" s="38">
        <v>0.18221721722277287</v>
      </c>
      <c r="AV53" s="26">
        <v>833.32866421283643</v>
      </c>
      <c r="AY53" s="29" t="s">
        <v>110</v>
      </c>
      <c r="AZ53" s="29">
        <v>199</v>
      </c>
      <c r="BA53" s="38">
        <v>0.21205695243865497</v>
      </c>
      <c r="BB53" s="26">
        <v>460.96143092881852</v>
      </c>
      <c r="BE53" s="29" t="s">
        <v>110</v>
      </c>
      <c r="BF53" s="29">
        <v>199</v>
      </c>
      <c r="BG53" s="38">
        <v>0.21205695243865497</v>
      </c>
      <c r="BH53" s="26">
        <v>460.96143092881852</v>
      </c>
      <c r="BM53" s="43" t="s">
        <v>130</v>
      </c>
      <c r="BN53">
        <v>100</v>
      </c>
    </row>
    <row r="54" spans="1:70" x14ac:dyDescent="0.35">
      <c r="A54" s="6" t="s">
        <v>108</v>
      </c>
      <c r="B54" s="29">
        <v>199</v>
      </c>
      <c r="C54" s="23">
        <v>1500</v>
      </c>
      <c r="F54" s="6" t="s">
        <v>108</v>
      </c>
      <c r="G54" s="29">
        <v>199</v>
      </c>
      <c r="H54" s="23">
        <v>1752.1472967938757</v>
      </c>
      <c r="J54" s="6" t="s">
        <v>108</v>
      </c>
      <c r="K54" s="29">
        <v>199</v>
      </c>
      <c r="L54" s="23">
        <v>1752.1472967938757</v>
      </c>
      <c r="O54" s="17" t="s">
        <v>112</v>
      </c>
      <c r="P54" s="29">
        <v>49</v>
      </c>
      <c r="Q54" s="23">
        <v>4550.5860937524767</v>
      </c>
      <c r="T54" s="17" t="s">
        <v>112</v>
      </c>
      <c r="U54" s="29">
        <v>49</v>
      </c>
      <c r="V54" s="23">
        <v>4550.5860937524767</v>
      </c>
      <c r="AA54" s="37" t="s">
        <v>108</v>
      </c>
      <c r="AB54" s="29">
        <v>199</v>
      </c>
      <c r="AC54" s="38">
        <v>0.21160898414917204</v>
      </c>
      <c r="AD54" s="26">
        <v>177.7515466853045</v>
      </c>
      <c r="AG54" s="37" t="s">
        <v>108</v>
      </c>
      <c r="AH54" s="29">
        <v>199</v>
      </c>
      <c r="AI54" s="38">
        <v>0.24402280040397481</v>
      </c>
      <c r="AJ54" s="26">
        <v>366.03420060596221</v>
      </c>
      <c r="AM54" s="37" t="s">
        <v>108</v>
      </c>
      <c r="AN54" s="29">
        <v>199</v>
      </c>
      <c r="AO54" s="38">
        <v>0.22712045073854112</v>
      </c>
      <c r="AP54" s="26">
        <v>397.94848380814142</v>
      </c>
      <c r="AS54" s="37" t="s">
        <v>108</v>
      </c>
      <c r="AT54" s="29">
        <v>199</v>
      </c>
      <c r="AU54" s="38">
        <v>0.19293558783195533</v>
      </c>
      <c r="AV54" s="26">
        <v>338.05156867509794</v>
      </c>
      <c r="AY54" s="18" t="s">
        <v>112</v>
      </c>
      <c r="AZ54" s="18">
        <v>49</v>
      </c>
      <c r="BA54" s="18">
        <v>0.28123911872962815</v>
      </c>
      <c r="BB54" s="18">
        <v>1279.8028227102475</v>
      </c>
      <c r="BE54" s="18" t="s">
        <v>112</v>
      </c>
      <c r="BF54" s="18">
        <v>49</v>
      </c>
      <c r="BG54" s="18">
        <v>0.28123911872962815</v>
      </c>
      <c r="BH54" s="18">
        <v>1279.8028227102475</v>
      </c>
      <c r="BM54" s="43" t="s">
        <v>164</v>
      </c>
      <c r="BN54">
        <v>96</v>
      </c>
    </row>
    <row r="55" spans="1:70" x14ac:dyDescent="0.35">
      <c r="A55" s="15" t="s">
        <v>110</v>
      </c>
      <c r="B55" s="29">
        <v>199</v>
      </c>
      <c r="C55" s="23">
        <v>1600</v>
      </c>
      <c r="F55" s="15" t="s">
        <v>110</v>
      </c>
      <c r="G55" s="29">
        <v>199</v>
      </c>
      <c r="H55" s="23">
        <v>845.21466164044534</v>
      </c>
      <c r="J55" s="15" t="s">
        <v>110</v>
      </c>
      <c r="K55" s="29">
        <v>199</v>
      </c>
      <c r="L55" s="23">
        <v>845.21466164044534</v>
      </c>
      <c r="O55" s="14"/>
      <c r="P55" s="18"/>
      <c r="Q55" s="18"/>
      <c r="T55" s="14"/>
      <c r="U55" s="18"/>
      <c r="V55" s="18"/>
      <c r="AA55" s="32" t="s">
        <v>110</v>
      </c>
      <c r="AB55" s="29">
        <v>199</v>
      </c>
      <c r="AC55" s="38">
        <v>0.18563516936418667</v>
      </c>
      <c r="AD55" s="26">
        <v>321.14884300004292</v>
      </c>
      <c r="AG55" s="32" t="s">
        <v>110</v>
      </c>
      <c r="AH55" s="29">
        <v>199</v>
      </c>
      <c r="AI55" s="38">
        <v>0.15242114674134558</v>
      </c>
      <c r="AJ55" s="26">
        <v>243.87383478615291</v>
      </c>
      <c r="AM55" s="32" t="s">
        <v>110</v>
      </c>
      <c r="AN55" s="29">
        <v>199</v>
      </c>
      <c r="AO55" s="38">
        <v>0.13270746407046824</v>
      </c>
      <c r="AP55" s="26">
        <v>112.16629434148237</v>
      </c>
      <c r="AS55" s="32" t="s">
        <v>110</v>
      </c>
      <c r="AT55" s="29">
        <v>199</v>
      </c>
      <c r="AU55" s="38">
        <v>0.18619528619528619</v>
      </c>
      <c r="AV55" s="26">
        <v>157.3749858205947</v>
      </c>
      <c r="AY55" s="37"/>
      <c r="AZ55" s="37"/>
      <c r="BA55" s="38"/>
      <c r="BB55" s="26"/>
      <c r="BE55" s="37"/>
      <c r="BF55" s="37"/>
      <c r="BG55" s="38"/>
      <c r="BH55" s="26"/>
      <c r="BM55" s="45" t="s">
        <v>165</v>
      </c>
      <c r="BN55" s="46">
        <v>46332</v>
      </c>
    </row>
    <row r="56" spans="1:70" x14ac:dyDescent="0.35">
      <c r="A56" s="17" t="s">
        <v>112</v>
      </c>
      <c r="B56" s="29">
        <v>49</v>
      </c>
      <c r="C56" s="23">
        <v>5100</v>
      </c>
      <c r="F56" s="17" t="s">
        <v>112</v>
      </c>
      <c r="G56" s="29">
        <v>49</v>
      </c>
      <c r="H56" s="23">
        <v>3822.2074459124788</v>
      </c>
      <c r="J56" s="17" t="s">
        <v>112</v>
      </c>
      <c r="K56" s="29">
        <v>49</v>
      </c>
      <c r="L56" s="23">
        <v>3822.2074459124788</v>
      </c>
      <c r="O56" s="6" t="s">
        <v>115</v>
      </c>
      <c r="P56" s="29">
        <v>69</v>
      </c>
      <c r="Q56" s="23">
        <v>35768.728037770132</v>
      </c>
      <c r="T56" s="6" t="s">
        <v>115</v>
      </c>
      <c r="U56" s="29">
        <v>69</v>
      </c>
      <c r="V56" s="23">
        <v>35768.728037770132</v>
      </c>
      <c r="AA56" s="29" t="s">
        <v>112</v>
      </c>
      <c r="AB56" s="29">
        <v>49</v>
      </c>
      <c r="AC56" s="38">
        <v>0.2490140795587292</v>
      </c>
      <c r="AD56" s="26">
        <v>1388.7062464118403</v>
      </c>
      <c r="AG56" s="29" t="s">
        <v>112</v>
      </c>
      <c r="AH56" s="29">
        <v>49</v>
      </c>
      <c r="AI56" s="38">
        <v>0.28158006592296153</v>
      </c>
      <c r="AJ56" s="26">
        <v>1436.0583362071038</v>
      </c>
      <c r="AM56" s="29" t="s">
        <v>112</v>
      </c>
      <c r="AN56" s="29">
        <v>49</v>
      </c>
      <c r="AO56" s="38">
        <v>0.25117468435352397</v>
      </c>
      <c r="AP56" s="26">
        <v>960.04174876075592</v>
      </c>
      <c r="AS56" s="29" t="s">
        <v>112</v>
      </c>
      <c r="AT56" s="29">
        <v>49</v>
      </c>
      <c r="AU56" s="38">
        <v>0.25832036734848773</v>
      </c>
      <c r="AV56" s="26">
        <v>987.35403151023661</v>
      </c>
      <c r="AY56" s="39" t="s">
        <v>115</v>
      </c>
      <c r="AZ56" s="29">
        <v>69</v>
      </c>
      <c r="BA56" s="38">
        <v>0.16022251917858235</v>
      </c>
      <c r="BB56" s="26">
        <v>5730.9557140251209</v>
      </c>
      <c r="BE56" s="39" t="s">
        <v>115</v>
      </c>
      <c r="BF56" s="29">
        <v>69</v>
      </c>
      <c r="BG56" s="38">
        <v>0.16022251917858235</v>
      </c>
      <c r="BH56" s="26">
        <v>5730.9557140251209</v>
      </c>
    </row>
    <row r="57" spans="1:70" x14ac:dyDescent="0.35">
      <c r="A57" s="14"/>
      <c r="B57" s="18"/>
      <c r="C57" s="18"/>
      <c r="F57" s="14"/>
      <c r="G57" s="18"/>
      <c r="H57" s="18"/>
      <c r="J57" s="14"/>
      <c r="K57" s="18"/>
      <c r="L57" s="18"/>
      <c r="O57" s="8" t="s">
        <v>117</v>
      </c>
      <c r="P57" s="29">
        <v>99</v>
      </c>
      <c r="Q57" s="23" t="s">
        <v>149</v>
      </c>
      <c r="T57" s="8" t="s">
        <v>117</v>
      </c>
      <c r="U57" s="29">
        <v>99</v>
      </c>
      <c r="V57" s="23" t="s">
        <v>149</v>
      </c>
      <c r="AA57" s="18"/>
      <c r="AB57" s="18"/>
      <c r="AC57" s="18"/>
      <c r="AD57" s="18"/>
      <c r="AG57" s="18"/>
      <c r="AH57" s="18"/>
      <c r="AI57" s="18"/>
      <c r="AJ57" s="18"/>
      <c r="AM57" s="18"/>
      <c r="AN57" s="18"/>
      <c r="AO57" s="18"/>
      <c r="AP57" s="18"/>
      <c r="AS57" s="18"/>
      <c r="AT57" s="18"/>
      <c r="AU57" s="18"/>
      <c r="AV57" s="18"/>
      <c r="AY57" s="18" t="s">
        <v>117</v>
      </c>
      <c r="AZ57" s="18">
        <v>99</v>
      </c>
      <c r="BA57" s="18">
        <v>0</v>
      </c>
      <c r="BB57" s="18" t="s">
        <v>149</v>
      </c>
      <c r="BE57" s="18" t="s">
        <v>117</v>
      </c>
      <c r="BF57" s="18">
        <v>99</v>
      </c>
      <c r="BG57" s="18">
        <v>0</v>
      </c>
      <c r="BH57" s="18" t="s">
        <v>149</v>
      </c>
    </row>
    <row r="58" spans="1:70" x14ac:dyDescent="0.35">
      <c r="A58" s="6" t="s">
        <v>115</v>
      </c>
      <c r="B58" s="29">
        <v>69</v>
      </c>
      <c r="C58" s="23">
        <v>50226.158345464813</v>
      </c>
      <c r="F58" s="6" t="s">
        <v>115</v>
      </c>
      <c r="G58" s="29">
        <v>69</v>
      </c>
      <c r="H58" s="23">
        <v>34503.870636603628</v>
      </c>
      <c r="J58" s="6" t="s">
        <v>115</v>
      </c>
      <c r="K58" s="29">
        <v>69</v>
      </c>
      <c r="L58" s="23">
        <v>34503.870636603628</v>
      </c>
      <c r="O58" s="14"/>
      <c r="P58" s="18"/>
      <c r="Q58" s="18"/>
      <c r="T58" s="14"/>
      <c r="U58" s="18"/>
      <c r="V58" s="18"/>
      <c r="AA58" s="37" t="s">
        <v>115</v>
      </c>
      <c r="AB58" s="37">
        <v>69</v>
      </c>
      <c r="AC58" s="38">
        <v>0.2244812137233734</v>
      </c>
      <c r="AD58" s="26">
        <v>11034.927690225219</v>
      </c>
      <c r="AG58" s="37" t="s">
        <v>115</v>
      </c>
      <c r="AH58" s="37">
        <v>69</v>
      </c>
      <c r="AI58" s="38">
        <v>0.25761332676418564</v>
      </c>
      <c r="AJ58" s="26">
        <v>12938.927741959957</v>
      </c>
      <c r="AM58" s="37" t="s">
        <v>115</v>
      </c>
      <c r="AN58" s="37">
        <v>69</v>
      </c>
      <c r="AO58" s="38">
        <v>0.22611158391115857</v>
      </c>
      <c r="AP58" s="26">
        <v>7801.7248407081615</v>
      </c>
      <c r="AS58" s="37" t="s">
        <v>115</v>
      </c>
      <c r="AT58" s="37">
        <v>69</v>
      </c>
      <c r="AU58" s="38">
        <v>0.20857130138306418</v>
      </c>
      <c r="AV58" s="26">
        <v>7196.5172014293139</v>
      </c>
      <c r="AY58" s="39"/>
      <c r="AZ58" s="29"/>
      <c r="BA58" s="38"/>
      <c r="BB58" s="26"/>
      <c r="BE58" s="39"/>
      <c r="BF58" s="29"/>
      <c r="BG58" s="38"/>
      <c r="BH58" s="26"/>
    </row>
    <row r="59" spans="1:70" x14ac:dyDescent="0.35">
      <c r="A59" s="8" t="s">
        <v>117</v>
      </c>
      <c r="B59" s="29">
        <v>99</v>
      </c>
      <c r="C59" s="26" t="s">
        <v>149</v>
      </c>
      <c r="F59" s="8" t="s">
        <v>117</v>
      </c>
      <c r="G59" s="29">
        <v>99</v>
      </c>
      <c r="H59" s="26" t="s">
        <v>149</v>
      </c>
      <c r="J59" s="8" t="s">
        <v>117</v>
      </c>
      <c r="K59" s="29">
        <v>99</v>
      </c>
      <c r="L59" s="26" t="s">
        <v>149</v>
      </c>
      <c r="O59" s="8" t="s">
        <v>120</v>
      </c>
      <c r="P59" s="29">
        <v>99</v>
      </c>
      <c r="Q59" s="23">
        <v>601.01010101010104</v>
      </c>
      <c r="T59" s="8" t="s">
        <v>120</v>
      </c>
      <c r="U59" s="29">
        <v>99</v>
      </c>
      <c r="V59" s="23">
        <v>601.01010101010104</v>
      </c>
      <c r="AA59" s="39" t="s">
        <v>117</v>
      </c>
      <c r="AB59" s="29">
        <v>99</v>
      </c>
      <c r="AC59" s="38" t="e">
        <v>#N/A</v>
      </c>
      <c r="AD59" s="26" t="s">
        <v>149</v>
      </c>
      <c r="AG59" s="39" t="s">
        <v>117</v>
      </c>
      <c r="AH59" s="29">
        <v>99</v>
      </c>
      <c r="AI59" s="38">
        <v>0</v>
      </c>
      <c r="AJ59" s="26" t="s">
        <v>149</v>
      </c>
      <c r="AM59" s="39" t="s">
        <v>117</v>
      </c>
      <c r="AN59" s="29">
        <v>99</v>
      </c>
      <c r="AO59" s="38">
        <v>0</v>
      </c>
      <c r="AP59" s="26" t="s">
        <v>149</v>
      </c>
      <c r="AS59" s="39" t="s">
        <v>117</v>
      </c>
      <c r="AT59" s="29">
        <v>99</v>
      </c>
      <c r="AU59" s="38">
        <v>0</v>
      </c>
      <c r="AV59" s="26" t="s">
        <v>149</v>
      </c>
      <c r="AY59" s="39" t="s">
        <v>120</v>
      </c>
      <c r="AZ59" s="29">
        <v>99</v>
      </c>
      <c r="BA59" s="38">
        <v>0.12167300380228137</v>
      </c>
      <c r="BB59" s="26">
        <v>73.126704305411536</v>
      </c>
      <c r="BE59" s="39" t="s">
        <v>120</v>
      </c>
      <c r="BF59" s="29">
        <v>99</v>
      </c>
      <c r="BG59" s="38">
        <v>0.12167300380228137</v>
      </c>
      <c r="BH59" s="26">
        <v>73.126704305411536</v>
      </c>
    </row>
    <row r="60" spans="1:70" x14ac:dyDescent="0.35">
      <c r="A60" s="14"/>
      <c r="B60" s="18"/>
      <c r="C60" s="18"/>
      <c r="F60" s="14"/>
      <c r="G60" s="18"/>
      <c r="H60" s="18"/>
      <c r="J60" s="14"/>
      <c r="K60" s="18"/>
      <c r="L60" s="18"/>
      <c r="O60" s="8" t="s">
        <v>122</v>
      </c>
      <c r="P60" s="29">
        <v>99</v>
      </c>
      <c r="Q60" s="23">
        <v>702.02020202020208</v>
      </c>
      <c r="T60" s="8" t="s">
        <v>122</v>
      </c>
      <c r="U60" s="29">
        <v>99</v>
      </c>
      <c r="V60" s="23">
        <v>702.02020202020208</v>
      </c>
      <c r="AA60" s="18"/>
      <c r="AB60" s="18"/>
      <c r="AC60" s="18"/>
      <c r="AD60" s="18"/>
      <c r="AG60" s="18"/>
      <c r="AH60" s="18"/>
      <c r="AI60" s="18"/>
      <c r="AJ60" s="18"/>
      <c r="AM60" s="18"/>
      <c r="AN60" s="18"/>
      <c r="AO60" s="18"/>
      <c r="AP60" s="18"/>
      <c r="AS60" s="18"/>
      <c r="AT60" s="18"/>
      <c r="AU60" s="18"/>
      <c r="AV60" s="18"/>
      <c r="AY60" s="39" t="s">
        <v>122</v>
      </c>
      <c r="AZ60" s="29">
        <v>99</v>
      </c>
      <c r="BA60" s="38">
        <v>0.19128949615713065</v>
      </c>
      <c r="BB60" s="26">
        <v>134.28909073657152</v>
      </c>
      <c r="BE60" s="39" t="s">
        <v>122</v>
      </c>
      <c r="BF60" s="29">
        <v>99</v>
      </c>
      <c r="BG60" s="38">
        <v>0.19128949615713065</v>
      </c>
      <c r="BH60" s="26">
        <v>134.28909073657152</v>
      </c>
    </row>
    <row r="61" spans="1:70" x14ac:dyDescent="0.35">
      <c r="A61" s="8" t="s">
        <v>120</v>
      </c>
      <c r="B61" s="29">
        <v>99</v>
      </c>
      <c r="C61" s="23">
        <v>0</v>
      </c>
      <c r="F61" s="8" t="s">
        <v>120</v>
      </c>
      <c r="G61" s="29">
        <v>99</v>
      </c>
      <c r="H61" s="23">
        <v>0</v>
      </c>
      <c r="J61" s="8" t="s">
        <v>120</v>
      </c>
      <c r="K61" s="29">
        <v>99</v>
      </c>
      <c r="L61" s="23">
        <v>0</v>
      </c>
      <c r="O61" s="8" t="s">
        <v>124</v>
      </c>
      <c r="P61" s="29">
        <v>56</v>
      </c>
      <c r="Q61" s="23">
        <v>37959.673324580661</v>
      </c>
      <c r="T61" s="8" t="s">
        <v>124</v>
      </c>
      <c r="U61" s="29">
        <v>56</v>
      </c>
      <c r="V61" s="23">
        <v>37959.673324580661</v>
      </c>
      <c r="AA61" s="39" t="s">
        <v>120</v>
      </c>
      <c r="AB61" s="29">
        <v>99</v>
      </c>
      <c r="AC61" s="38">
        <v>0.22261148821253923</v>
      </c>
      <c r="AD61" s="26">
        <v>0</v>
      </c>
      <c r="AG61" s="39" t="s">
        <v>120</v>
      </c>
      <c r="AH61" s="29">
        <v>99</v>
      </c>
      <c r="AI61" s="38">
        <v>3.3663366336633666E-2</v>
      </c>
      <c r="AJ61" s="26">
        <v>0</v>
      </c>
      <c r="AM61" s="39" t="s">
        <v>120</v>
      </c>
      <c r="AN61" s="29">
        <v>99</v>
      </c>
      <c r="AO61" s="38">
        <v>7.2283389181426516E-2</v>
      </c>
      <c r="AP61" s="26">
        <v>0</v>
      </c>
      <c r="AS61" s="39" t="s">
        <v>120</v>
      </c>
      <c r="AT61" s="29">
        <v>99</v>
      </c>
      <c r="AU61" s="38">
        <v>5.8257918552036207E-2</v>
      </c>
      <c r="AV61" s="26">
        <v>0</v>
      </c>
      <c r="AY61" s="18" t="s">
        <v>124</v>
      </c>
      <c r="AZ61" s="18">
        <v>59</v>
      </c>
      <c r="BA61" s="18">
        <v>0.17580704876330153</v>
      </c>
      <c r="BB61" s="18">
        <v>6673.5781392135486</v>
      </c>
      <c r="BE61" s="18" t="s">
        <v>124</v>
      </c>
      <c r="BF61" s="18">
        <v>59</v>
      </c>
      <c r="BG61" s="18">
        <v>0.17580704876330153</v>
      </c>
      <c r="BH61" s="18">
        <v>6673.5781392135486</v>
      </c>
    </row>
    <row r="62" spans="1:70" x14ac:dyDescent="0.35">
      <c r="A62" s="8" t="s">
        <v>122</v>
      </c>
      <c r="B62" s="29">
        <v>99</v>
      </c>
      <c r="C62" s="23">
        <v>0</v>
      </c>
      <c r="F62" s="8" t="s">
        <v>122</v>
      </c>
      <c r="G62" s="29">
        <v>99</v>
      </c>
      <c r="H62" s="23">
        <v>0</v>
      </c>
      <c r="J62" s="8" t="s">
        <v>122</v>
      </c>
      <c r="K62" s="29">
        <v>99</v>
      </c>
      <c r="L62" s="23">
        <v>0</v>
      </c>
      <c r="O62" s="14"/>
      <c r="P62" s="18"/>
      <c r="Q62" s="18"/>
      <c r="T62" s="14"/>
      <c r="U62" s="18"/>
      <c r="V62" s="18"/>
      <c r="AA62" s="39" t="s">
        <v>122</v>
      </c>
      <c r="AB62" s="29">
        <v>99</v>
      </c>
      <c r="AC62" s="38">
        <v>3.5941839568697925E-2</v>
      </c>
      <c r="AD62" s="26">
        <v>0</v>
      </c>
      <c r="AG62" s="39" t="s">
        <v>122</v>
      </c>
      <c r="AH62" s="29">
        <v>99</v>
      </c>
      <c r="AI62" s="38">
        <v>0.10671256454388983</v>
      </c>
      <c r="AJ62" s="26">
        <v>0</v>
      </c>
      <c r="AM62" s="39" t="s">
        <v>122</v>
      </c>
      <c r="AN62" s="29">
        <v>99</v>
      </c>
      <c r="AO62" s="38">
        <v>0.14869888475836429</v>
      </c>
      <c r="AP62" s="26">
        <v>0</v>
      </c>
      <c r="AS62" s="39" t="s">
        <v>122</v>
      </c>
      <c r="AT62" s="29">
        <v>99</v>
      </c>
      <c r="AU62" s="38">
        <v>0.11073137388926865</v>
      </c>
      <c r="AV62" s="26">
        <v>0</v>
      </c>
      <c r="AY62" s="32"/>
      <c r="AZ62" s="29"/>
      <c r="BA62" s="38"/>
      <c r="BB62" s="26"/>
      <c r="BE62" s="32"/>
      <c r="BF62" s="29"/>
      <c r="BG62" s="38"/>
      <c r="BH62" s="26"/>
    </row>
    <row r="63" spans="1:70" x14ac:dyDescent="0.35">
      <c r="A63" s="8" t="s">
        <v>124</v>
      </c>
      <c r="B63" s="29">
        <v>49</v>
      </c>
      <c r="C63" s="23">
        <v>20700</v>
      </c>
      <c r="F63" s="8" t="s">
        <v>124</v>
      </c>
      <c r="G63" s="29">
        <v>49</v>
      </c>
      <c r="H63" s="23">
        <v>14900</v>
      </c>
      <c r="J63" s="8" t="s">
        <v>124</v>
      </c>
      <c r="K63" s="29">
        <v>49</v>
      </c>
      <c r="L63" s="23">
        <v>14900</v>
      </c>
      <c r="O63" s="15" t="s">
        <v>127</v>
      </c>
      <c r="P63" s="29">
        <v>45</v>
      </c>
      <c r="Q63" s="23">
        <v>5255.040980674632</v>
      </c>
      <c r="T63" s="15" t="s">
        <v>127</v>
      </c>
      <c r="U63" s="29">
        <v>45</v>
      </c>
      <c r="V63" s="23">
        <v>5255.040980674632</v>
      </c>
      <c r="AA63" s="39" t="s">
        <v>124</v>
      </c>
      <c r="AB63" s="29">
        <v>59</v>
      </c>
      <c r="AC63" s="38">
        <v>0.29874989202899127</v>
      </c>
      <c r="AD63" s="26">
        <v>6184.1227650001192</v>
      </c>
      <c r="AG63" s="39" t="s">
        <v>124</v>
      </c>
      <c r="AH63" s="29">
        <v>59</v>
      </c>
      <c r="AI63" s="38">
        <v>0.17205562070698607</v>
      </c>
      <c r="AJ63" s="26">
        <v>3561.5513486346117</v>
      </c>
      <c r="AM63" s="39" t="s">
        <v>124</v>
      </c>
      <c r="AN63" s="29">
        <v>59</v>
      </c>
      <c r="AO63" s="38">
        <v>0.24465928582566665</v>
      </c>
      <c r="AP63" s="26">
        <v>3645.4233588024331</v>
      </c>
      <c r="AS63" s="39" t="s">
        <v>124</v>
      </c>
      <c r="AT63" s="29">
        <v>59</v>
      </c>
      <c r="AU63" s="38">
        <v>0.44963144963144958</v>
      </c>
      <c r="AV63" s="26">
        <v>6699.5085995085983</v>
      </c>
      <c r="AY63" s="18" t="s">
        <v>127</v>
      </c>
      <c r="AZ63" s="18">
        <v>45</v>
      </c>
      <c r="BA63" s="18">
        <v>8.2086629591916663E-2</v>
      </c>
      <c r="BB63" s="18">
        <v>431.36860247098099</v>
      </c>
      <c r="BE63" s="18" t="s">
        <v>127</v>
      </c>
      <c r="BF63" s="18">
        <v>45</v>
      </c>
      <c r="BG63" s="18">
        <v>8.2086629591916663E-2</v>
      </c>
      <c r="BH63" s="18">
        <v>431.36860247098099</v>
      </c>
    </row>
    <row r="64" spans="1:70" x14ac:dyDescent="0.35">
      <c r="A64" s="14"/>
      <c r="B64" s="18"/>
      <c r="C64" s="18"/>
      <c r="F64" s="14"/>
      <c r="G64" s="18"/>
      <c r="H64" s="18"/>
      <c r="J64" s="14"/>
      <c r="K64" s="18"/>
      <c r="L64" s="18"/>
      <c r="O64" s="18"/>
      <c r="P64" s="18"/>
      <c r="Q64" s="18"/>
      <c r="AA64" s="18"/>
      <c r="AB64" s="18"/>
      <c r="AC64" s="18"/>
      <c r="AD64" s="18"/>
      <c r="AG64" s="18"/>
      <c r="AH64" s="18"/>
      <c r="AI64" s="18"/>
      <c r="AJ64" s="18"/>
      <c r="AM64" s="18"/>
      <c r="AN64" s="18"/>
      <c r="AO64" s="18"/>
      <c r="AP64" s="18"/>
      <c r="AS64" s="18"/>
      <c r="AT64" s="18"/>
      <c r="AU64" s="18"/>
      <c r="AV64" s="18"/>
      <c r="AY64" s="32"/>
      <c r="AZ64" s="29"/>
      <c r="BA64" s="38"/>
      <c r="BB64" s="26"/>
      <c r="BE64" s="43"/>
    </row>
    <row r="65" spans="1:57" x14ac:dyDescent="0.35">
      <c r="A65" s="15" t="s">
        <v>127</v>
      </c>
      <c r="B65" s="29">
        <v>45</v>
      </c>
      <c r="C65" s="23">
        <v>0</v>
      </c>
      <c r="F65" s="15" t="s">
        <v>127</v>
      </c>
      <c r="G65" s="29">
        <v>45</v>
      </c>
      <c r="H65" s="23">
        <v>0</v>
      </c>
      <c r="J65" s="15" t="s">
        <v>127</v>
      </c>
      <c r="K65" s="29">
        <v>45</v>
      </c>
      <c r="L65" s="23">
        <v>0</v>
      </c>
      <c r="O65" s="32" t="s">
        <v>130</v>
      </c>
      <c r="P65" s="29">
        <v>299</v>
      </c>
      <c r="Q65" s="23">
        <v>425.93626327626794</v>
      </c>
      <c r="AA65" s="32" t="s">
        <v>127</v>
      </c>
      <c r="AB65" s="29">
        <v>45</v>
      </c>
      <c r="AC65" s="38">
        <v>3.5160537377242437E-2</v>
      </c>
      <c r="AD65" s="26">
        <v>0</v>
      </c>
      <c r="AG65" s="32" t="s">
        <v>127</v>
      </c>
      <c r="AH65" s="29">
        <v>45</v>
      </c>
      <c r="AI65" s="38">
        <v>0.2155576894863894</v>
      </c>
      <c r="AJ65" s="26">
        <v>0</v>
      </c>
      <c r="AM65" s="32" t="s">
        <v>127</v>
      </c>
      <c r="AN65" s="29">
        <v>45</v>
      </c>
      <c r="AO65" s="38">
        <v>0.18003946070371588</v>
      </c>
      <c r="AP65" s="26">
        <v>0</v>
      </c>
      <c r="AS65" s="32" t="s">
        <v>127</v>
      </c>
      <c r="AT65" s="29">
        <v>45</v>
      </c>
      <c r="AU65" s="38">
        <v>0.15754169688179842</v>
      </c>
      <c r="AV65" s="26">
        <v>0</v>
      </c>
      <c r="AY65" t="s">
        <v>130</v>
      </c>
      <c r="AZ65">
        <v>299</v>
      </c>
      <c r="BA65">
        <v>0.13457556935817805</v>
      </c>
      <c r="BB65">
        <v>57.320615140698578</v>
      </c>
      <c r="BE65" t="s">
        <v>130</v>
      </c>
    </row>
    <row r="66" spans="1:57" x14ac:dyDescent="0.35">
      <c r="A66" s="18"/>
      <c r="B66" s="18"/>
      <c r="C66" s="18"/>
      <c r="F66" s="18"/>
      <c r="G66" s="18"/>
      <c r="H66" s="18"/>
      <c r="J66" s="18"/>
      <c r="K66" s="18"/>
      <c r="L66" s="18"/>
      <c r="AA66" s="18"/>
      <c r="AB66" s="18"/>
      <c r="AC66" s="18"/>
      <c r="AD66" s="18"/>
      <c r="AG66" s="18"/>
      <c r="AH66" s="18"/>
      <c r="AI66" s="18"/>
      <c r="AJ66" s="18"/>
      <c r="AM66" s="18"/>
      <c r="AN66" s="18"/>
      <c r="AO66" s="18"/>
      <c r="AP66" s="18"/>
      <c r="AS66" s="18"/>
      <c r="AT66" s="18"/>
      <c r="AU66" s="18"/>
      <c r="AV66" s="18"/>
    </row>
    <row r="67" spans="1:57" x14ac:dyDescent="0.35">
      <c r="A67" s="8" t="s">
        <v>130</v>
      </c>
      <c r="B67" s="29">
        <v>299</v>
      </c>
      <c r="C67" s="23">
        <v>0</v>
      </c>
      <c r="F67" s="8" t="s">
        <v>130</v>
      </c>
      <c r="G67" s="29">
        <v>299</v>
      </c>
      <c r="H67" s="23">
        <v>600</v>
      </c>
      <c r="J67" s="8" t="s">
        <v>130</v>
      </c>
      <c r="K67" s="29">
        <v>299</v>
      </c>
      <c r="L67" s="23">
        <v>600</v>
      </c>
      <c r="AA67" s="32" t="s">
        <v>130</v>
      </c>
      <c r="AB67" s="29">
        <v>299</v>
      </c>
      <c r="AC67" s="38">
        <v>8.1055842619685015E-2</v>
      </c>
      <c r="AD67" s="26">
        <v>0</v>
      </c>
      <c r="AG67" s="32" t="s">
        <v>130</v>
      </c>
      <c r="AH67" s="29">
        <v>299</v>
      </c>
      <c r="AI67" s="38">
        <v>0.17986972890066333</v>
      </c>
      <c r="AJ67" s="26">
        <v>0</v>
      </c>
      <c r="AM67" s="32" t="s">
        <v>130</v>
      </c>
      <c r="AN67" s="29">
        <v>299</v>
      </c>
      <c r="AO67" s="38">
        <v>0.21591417076441663</v>
      </c>
      <c r="AP67" s="26">
        <v>129.54850245864998</v>
      </c>
      <c r="AS67" s="32" t="s">
        <v>130</v>
      </c>
      <c r="AT67" s="29">
        <v>299</v>
      </c>
      <c r="AU67" s="38">
        <v>0.19</v>
      </c>
      <c r="AV67" s="26">
        <v>114</v>
      </c>
    </row>
    <row r="68" spans="1:57" x14ac:dyDescent="0.35">
      <c r="A68" s="18"/>
      <c r="B68" s="18"/>
      <c r="C68" s="18"/>
      <c r="F68" s="18"/>
      <c r="G68" s="18"/>
      <c r="H68" s="18"/>
      <c r="J68" s="18"/>
      <c r="K68" s="18"/>
      <c r="L68" s="18"/>
      <c r="AA68" s="18"/>
      <c r="AB68" s="18"/>
      <c r="AC68" s="18"/>
      <c r="AD68" s="18"/>
      <c r="AG68" s="18"/>
      <c r="AH68" s="18"/>
      <c r="AI68" s="18"/>
      <c r="AJ68" s="18"/>
      <c r="AM68" s="18"/>
      <c r="AN68" s="18"/>
      <c r="AO68" s="18"/>
      <c r="AP68" s="18"/>
    </row>
    <row r="69" spans="1:57" x14ac:dyDescent="0.35">
      <c r="A69" s="8" t="s">
        <v>133</v>
      </c>
      <c r="B69" s="29">
        <v>129</v>
      </c>
      <c r="C69" s="23">
        <v>1000</v>
      </c>
      <c r="F69" s="8" t="s">
        <v>133</v>
      </c>
      <c r="G69" s="29">
        <v>129</v>
      </c>
      <c r="H69" s="23">
        <v>1200</v>
      </c>
      <c r="J69" s="8" t="s">
        <v>133</v>
      </c>
      <c r="K69" s="29">
        <v>129</v>
      </c>
      <c r="L69" s="23">
        <v>1200</v>
      </c>
      <c r="AA69" s="8" t="s">
        <v>133</v>
      </c>
      <c r="AB69" s="29">
        <v>129</v>
      </c>
      <c r="AC69" s="38">
        <v>0.1</v>
      </c>
      <c r="AD69" s="26">
        <v>0</v>
      </c>
      <c r="AG69" s="8" t="s">
        <v>133</v>
      </c>
      <c r="AH69" s="29">
        <v>129</v>
      </c>
      <c r="AI69" s="38">
        <v>0.1</v>
      </c>
      <c r="AJ69" s="26">
        <v>100</v>
      </c>
      <c r="AM69" s="8" t="s">
        <v>133</v>
      </c>
      <c r="AN69" s="29">
        <v>129</v>
      </c>
      <c r="AO69" s="38">
        <v>0.1</v>
      </c>
      <c r="AP69" s="26">
        <v>120</v>
      </c>
      <c r="AS69" t="s">
        <v>133</v>
      </c>
      <c r="AT69">
        <v>129</v>
      </c>
      <c r="AU69">
        <v>1</v>
      </c>
      <c r="AV69">
        <v>1200</v>
      </c>
    </row>
    <row r="70" spans="1:57" x14ac:dyDescent="0.35">
      <c r="A70" s="8" t="s">
        <v>135</v>
      </c>
      <c r="B70" s="29">
        <v>225</v>
      </c>
      <c r="C70" s="23">
        <v>1000</v>
      </c>
      <c r="F70" s="8" t="s">
        <v>135</v>
      </c>
      <c r="G70" s="29">
        <v>225</v>
      </c>
      <c r="H70" s="23">
        <v>700</v>
      </c>
      <c r="J70" s="8" t="s">
        <v>135</v>
      </c>
      <c r="K70" s="29">
        <v>225</v>
      </c>
      <c r="L70" s="23">
        <v>700</v>
      </c>
      <c r="AA70" s="8" t="s">
        <v>135</v>
      </c>
      <c r="AB70" s="29">
        <v>225</v>
      </c>
      <c r="AC70" s="38">
        <v>0.1</v>
      </c>
      <c r="AD70" s="26">
        <v>0</v>
      </c>
      <c r="AG70" s="8" t="s">
        <v>135</v>
      </c>
      <c r="AH70" s="29">
        <v>225</v>
      </c>
      <c r="AI70" s="38">
        <v>0.1</v>
      </c>
      <c r="AJ70" s="26">
        <v>100</v>
      </c>
      <c r="AM70" s="8" t="s">
        <v>135</v>
      </c>
      <c r="AN70" s="29">
        <v>225</v>
      </c>
      <c r="AO70" s="38">
        <v>0.1</v>
      </c>
      <c r="AP70" s="26">
        <v>70</v>
      </c>
      <c r="AS70" t="s">
        <v>135</v>
      </c>
      <c r="AT70">
        <v>225</v>
      </c>
      <c r="AU70">
        <v>1</v>
      </c>
      <c r="AV70">
        <v>700</v>
      </c>
    </row>
    <row r="71" spans="1:57" x14ac:dyDescent="0.35">
      <c r="A71" s="8" t="s">
        <v>137</v>
      </c>
      <c r="B71" s="29">
        <v>699</v>
      </c>
      <c r="C71" s="23">
        <v>0</v>
      </c>
      <c r="F71" s="8" t="s">
        <v>137</v>
      </c>
      <c r="G71" s="29">
        <v>699</v>
      </c>
      <c r="H71" s="23">
        <v>50</v>
      </c>
      <c r="J71" s="8" t="s">
        <v>137</v>
      </c>
      <c r="K71" s="29">
        <v>699</v>
      </c>
      <c r="L71" s="23">
        <v>50</v>
      </c>
      <c r="AA71" s="8" t="s">
        <v>137</v>
      </c>
      <c r="AB71" s="29">
        <v>699</v>
      </c>
      <c r="AC71" s="38">
        <v>1</v>
      </c>
      <c r="AD71" s="26">
        <v>0</v>
      </c>
      <c r="AG71" s="8" t="s">
        <v>137</v>
      </c>
      <c r="AH71" s="29">
        <v>699</v>
      </c>
      <c r="AI71" s="38">
        <v>1</v>
      </c>
      <c r="AJ71" s="26">
        <v>0</v>
      </c>
      <c r="AM71" s="8" t="s">
        <v>137</v>
      </c>
      <c r="AN71" s="29">
        <v>699</v>
      </c>
      <c r="AO71" s="38">
        <v>1</v>
      </c>
      <c r="AP71" s="26">
        <v>50</v>
      </c>
      <c r="AS71" t="s">
        <v>137</v>
      </c>
      <c r="AT71">
        <v>699</v>
      </c>
      <c r="AU71">
        <v>1</v>
      </c>
      <c r="AV71">
        <v>50</v>
      </c>
    </row>
    <row r="72" spans="1:57" x14ac:dyDescent="0.35">
      <c r="A72" s="8" t="s">
        <v>139</v>
      </c>
      <c r="B72" s="29">
        <v>799</v>
      </c>
      <c r="C72" s="23">
        <v>0</v>
      </c>
      <c r="F72" s="8" t="s">
        <v>139</v>
      </c>
      <c r="G72" s="29">
        <v>799</v>
      </c>
      <c r="H72" s="23">
        <v>50</v>
      </c>
      <c r="J72" s="8" t="s">
        <v>139</v>
      </c>
      <c r="K72" s="29">
        <v>799</v>
      </c>
      <c r="L72" s="23">
        <v>50</v>
      </c>
      <c r="AA72" s="8" t="s">
        <v>139</v>
      </c>
      <c r="AB72" s="29">
        <v>799</v>
      </c>
      <c r="AC72" s="38">
        <v>1</v>
      </c>
      <c r="AD72" s="26">
        <v>0</v>
      </c>
      <c r="AG72" s="8" t="s">
        <v>139</v>
      </c>
      <c r="AH72" s="29">
        <v>799</v>
      </c>
      <c r="AI72" s="38">
        <v>1</v>
      </c>
      <c r="AJ72" s="26">
        <v>0</v>
      </c>
      <c r="AM72" s="8" t="s">
        <v>139</v>
      </c>
      <c r="AN72" s="29">
        <v>799</v>
      </c>
      <c r="AO72" s="38">
        <v>1</v>
      </c>
      <c r="AP72" s="26">
        <v>50</v>
      </c>
      <c r="AS72" t="s">
        <v>139</v>
      </c>
      <c r="AT72">
        <v>799</v>
      </c>
      <c r="AU72">
        <v>1</v>
      </c>
      <c r="AV72">
        <v>50</v>
      </c>
    </row>
    <row r="73" spans="1:57" x14ac:dyDescent="0.35">
      <c r="A73" s="8" t="s">
        <v>141</v>
      </c>
      <c r="B73" s="29">
        <v>199</v>
      </c>
      <c r="C73" s="23">
        <v>500</v>
      </c>
      <c r="F73" s="8" t="s">
        <v>141</v>
      </c>
      <c r="G73" s="29">
        <v>199</v>
      </c>
      <c r="H73" s="23">
        <v>400</v>
      </c>
      <c r="J73" s="8" t="s">
        <v>141</v>
      </c>
      <c r="K73" s="29">
        <v>199</v>
      </c>
      <c r="L73" s="23">
        <v>400</v>
      </c>
      <c r="AA73" s="8" t="s">
        <v>141</v>
      </c>
      <c r="AB73" s="29">
        <v>199</v>
      </c>
      <c r="AC73" s="38">
        <v>0.1</v>
      </c>
      <c r="AD73" s="26">
        <v>0</v>
      </c>
      <c r="AG73" s="8" t="s">
        <v>141</v>
      </c>
      <c r="AH73" s="29">
        <v>199</v>
      </c>
      <c r="AI73" s="38">
        <v>0.1</v>
      </c>
      <c r="AJ73" s="26">
        <v>50</v>
      </c>
      <c r="AM73" s="8" t="s">
        <v>141</v>
      </c>
      <c r="AN73" s="29">
        <v>199</v>
      </c>
      <c r="AO73" s="38">
        <v>0.1</v>
      </c>
      <c r="AP73" s="26">
        <v>40</v>
      </c>
      <c r="AS73" t="s">
        <v>141</v>
      </c>
      <c r="AT73">
        <v>199</v>
      </c>
      <c r="AU73">
        <v>1</v>
      </c>
      <c r="AV73">
        <v>400</v>
      </c>
    </row>
    <row r="74" spans="1:57" x14ac:dyDescent="0.35">
      <c r="A74" s="8" t="s">
        <v>143</v>
      </c>
      <c r="B74" s="29">
        <v>699</v>
      </c>
      <c r="C74" s="23">
        <v>0</v>
      </c>
      <c r="F74" s="8" t="s">
        <v>143</v>
      </c>
      <c r="G74" s="29">
        <v>699</v>
      </c>
      <c r="H74" s="23">
        <v>50</v>
      </c>
      <c r="J74" s="8" t="s">
        <v>143</v>
      </c>
      <c r="K74" s="29">
        <v>699</v>
      </c>
      <c r="L74" s="23">
        <v>50</v>
      </c>
      <c r="AA74" s="8" t="s">
        <v>143</v>
      </c>
      <c r="AB74" s="29">
        <v>699</v>
      </c>
      <c r="AC74" s="38">
        <v>1</v>
      </c>
      <c r="AD74" s="26">
        <v>0</v>
      </c>
      <c r="AG74" s="8" t="s">
        <v>143</v>
      </c>
      <c r="AH74" s="29">
        <v>699</v>
      </c>
      <c r="AI74" s="38">
        <v>1</v>
      </c>
      <c r="AJ74" s="26">
        <v>0</v>
      </c>
      <c r="AM74" s="8" t="s">
        <v>143</v>
      </c>
      <c r="AN74" s="29">
        <v>699</v>
      </c>
      <c r="AO74" s="38">
        <v>1</v>
      </c>
      <c r="AP74" s="26">
        <v>50</v>
      </c>
      <c r="AS74" t="s">
        <v>143</v>
      </c>
      <c r="AT74">
        <v>699</v>
      </c>
      <c r="AU74">
        <v>1</v>
      </c>
      <c r="AV74">
        <v>50</v>
      </c>
    </row>
    <row r="75" spans="1:57" x14ac:dyDescent="0.35">
      <c r="A75" s="8" t="s">
        <v>145</v>
      </c>
      <c r="B75" s="29">
        <v>199</v>
      </c>
      <c r="C75" s="23">
        <v>200</v>
      </c>
      <c r="AA75" s="8" t="s">
        <v>145</v>
      </c>
      <c r="AB75" s="29">
        <v>199</v>
      </c>
      <c r="AC75" s="38">
        <v>0.1</v>
      </c>
      <c r="AD75" s="26">
        <v>0</v>
      </c>
      <c r="AG75" s="8" t="s">
        <v>145</v>
      </c>
      <c r="AH75" s="29">
        <v>199</v>
      </c>
      <c r="AI75" s="38">
        <v>0.1</v>
      </c>
      <c r="AJ75" s="26">
        <v>20</v>
      </c>
    </row>
  </sheetData>
  <mergeCells count="3">
    <mergeCell ref="A1:V1"/>
    <mergeCell ref="X1:X1048576"/>
    <mergeCell ref="BK1:BK1048576"/>
  </mergeCells>
  <conditionalFormatting sqref="A65">
    <cfRule type="duplicateValues" dxfId="22" priority="22"/>
  </conditionalFormatting>
  <conditionalFormatting sqref="F65">
    <cfRule type="duplicateValues" dxfId="21" priority="21"/>
  </conditionalFormatting>
  <conditionalFormatting sqref="J65">
    <cfRule type="duplicateValues" dxfId="20" priority="20"/>
  </conditionalFormatting>
  <conditionalFormatting sqref="O63">
    <cfRule type="duplicateValues" dxfId="19" priority="19"/>
  </conditionalFormatting>
  <conditionalFormatting sqref="O65">
    <cfRule type="duplicateValues" dxfId="18" priority="18"/>
  </conditionalFormatting>
  <conditionalFormatting sqref="T63">
    <cfRule type="duplicateValues" dxfId="17" priority="17"/>
  </conditionalFormatting>
  <conditionalFormatting sqref="AS65">
    <cfRule type="duplicateValues" dxfId="12" priority="12"/>
  </conditionalFormatting>
  <conditionalFormatting sqref="AS67">
    <cfRule type="duplicateValues" dxfId="11" priority="11"/>
  </conditionalFormatting>
  <conditionalFormatting sqref="AY62">
    <cfRule type="duplicateValues" dxfId="10" priority="10"/>
  </conditionalFormatting>
  <conditionalFormatting sqref="AY64">
    <cfRule type="duplicateValues" dxfId="9" priority="9"/>
  </conditionalFormatting>
  <conditionalFormatting sqref="AM65">
    <cfRule type="duplicateValues" dxfId="7" priority="7"/>
  </conditionalFormatting>
  <conditionalFormatting sqref="AM67">
    <cfRule type="duplicateValues" dxfId="6" priority="6"/>
  </conditionalFormatting>
  <conditionalFormatting sqref="AG65">
    <cfRule type="duplicateValues" dxfId="5" priority="5"/>
  </conditionalFormatting>
  <conditionalFormatting sqref="AG67">
    <cfRule type="duplicateValues" dxfId="4" priority="4"/>
  </conditionalFormatting>
  <conditionalFormatting sqref="AA65">
    <cfRule type="duplicateValues" dxfId="3" priority="3"/>
  </conditionalFormatting>
  <conditionalFormatting sqref="AA67">
    <cfRule type="duplicateValues" dxfId="2" priority="2"/>
  </conditionalFormatting>
  <conditionalFormatting sqref="BE62">
    <cfRule type="duplicateValues" dxfId="1" priority="1"/>
  </conditionalFormatting>
  <hyperlinks>
    <hyperlink ref="A75" r:id="rId1" display="https://sellercentral.amazon.in/skucentral?mSku=SANYF01&amp;condition=New&amp;ref_=myp_skuc" xr:uid="{DDD38F3B-2331-4612-9D5A-17ABD2142DE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80440-9162-4CE6-B42F-088F8087E574}">
  <dimension ref="A1:H74"/>
  <sheetViews>
    <sheetView workbookViewId="0">
      <selection sqref="A1:H74"/>
    </sheetView>
  </sheetViews>
  <sheetFormatPr defaultRowHeight="14.5" x14ac:dyDescent="0.35"/>
  <cols>
    <col min="1" max="1" width="51.26953125" customWidth="1"/>
    <col min="2" max="2" width="11.90625" bestFit="1" customWidth="1"/>
    <col min="3" max="8" width="13.453125" bestFit="1" customWidth="1"/>
  </cols>
  <sheetData>
    <row r="1" spans="1:8" x14ac:dyDescent="0.35">
      <c r="B1" s="19" t="s">
        <v>146</v>
      </c>
      <c r="C1" s="27">
        <v>46113</v>
      </c>
      <c r="D1" s="27">
        <v>46143</v>
      </c>
      <c r="E1" s="27">
        <v>46174</v>
      </c>
      <c r="F1" s="27">
        <v>46204</v>
      </c>
      <c r="G1" s="27">
        <v>46235</v>
      </c>
      <c r="H1" s="27">
        <v>46266</v>
      </c>
    </row>
    <row r="2" spans="1:8" x14ac:dyDescent="0.35">
      <c r="A2" s="1" t="s">
        <v>11</v>
      </c>
      <c r="B2" s="2"/>
      <c r="C2" s="21" t="s">
        <v>148</v>
      </c>
      <c r="D2" s="21" t="s">
        <v>148</v>
      </c>
      <c r="E2" s="21" t="s">
        <v>148</v>
      </c>
      <c r="F2" s="21" t="s">
        <v>148</v>
      </c>
      <c r="G2" s="21" t="s">
        <v>148</v>
      </c>
      <c r="H2" s="21" t="s">
        <v>148</v>
      </c>
    </row>
    <row r="3" spans="1:8" x14ac:dyDescent="0.35">
      <c r="A3" s="3" t="s">
        <v>12</v>
      </c>
      <c r="B3" s="4"/>
      <c r="C3" s="4"/>
      <c r="D3" s="4"/>
      <c r="E3" s="4"/>
      <c r="F3" s="4"/>
      <c r="G3" s="4"/>
      <c r="H3" s="22"/>
    </row>
    <row r="4" spans="1:8" x14ac:dyDescent="0.35">
      <c r="A4" s="5" t="s">
        <v>13</v>
      </c>
      <c r="B4" s="6" t="s">
        <v>14</v>
      </c>
      <c r="C4" s="23">
        <f>IFERROR(VLOOKUP(B4,Sheet8!$T$2:$V$63,3,FALSE),"-")</f>
        <v>28939.96852288345</v>
      </c>
      <c r="D4" s="23">
        <f>IFERROR(VLOOKUP(B4,Sheet8!$O$2:$Q$65,3,FALSE),"-")</f>
        <v>28939.96852288345</v>
      </c>
      <c r="E4" s="23">
        <f>IFERROR(VLOOKUP(B4,Sheet8!$J$2:$L$74,3,FALSE),"-")</f>
        <v>27536.265982882142</v>
      </c>
      <c r="F4" s="23">
        <f>VLOOKUP(B4,Sheet8!$F$2:$H$74,3,FALSE)</f>
        <v>27536.265982882142</v>
      </c>
      <c r="G4" s="23">
        <f>VLOOKUP(B4,Sheet8!$A$2:$C$75,3,FALSE)</f>
        <v>40822.518004544305</v>
      </c>
      <c r="H4" s="23">
        <v>37773.3125</v>
      </c>
    </row>
    <row r="5" spans="1:8" x14ac:dyDescent="0.35">
      <c r="A5" s="7" t="s">
        <v>15</v>
      </c>
      <c r="B5" s="8" t="s">
        <v>16</v>
      </c>
      <c r="C5" s="23">
        <f>IFERROR(VLOOKUP(B5,Sheet8!$T$2:$V$63,3,FALSE),"-")</f>
        <v>29837.180890205727</v>
      </c>
      <c r="D5" s="23">
        <f>IFERROR(VLOOKUP(B5,Sheet8!$O$2:$Q$65,3,FALSE),"-")</f>
        <v>29837.180890205727</v>
      </c>
      <c r="E5" s="23">
        <f>IFERROR(VLOOKUP(B5,Sheet8!$J$2:$L$74,3,FALSE),"-")</f>
        <v>63317.706750315323</v>
      </c>
      <c r="F5" s="23">
        <f>VLOOKUP(B5,Sheet8!$F$2:$H$74,3,FALSE)</f>
        <v>63317.706750315323</v>
      </c>
      <c r="G5" s="23">
        <f>VLOOKUP(B5,Sheet8!$A$2:$C$75,3,FALSE)</f>
        <v>71000</v>
      </c>
      <c r="H5" s="23">
        <v>75039.090909090912</v>
      </c>
    </row>
    <row r="6" spans="1:8" x14ac:dyDescent="0.35">
      <c r="A6" s="7" t="s">
        <v>17</v>
      </c>
      <c r="B6" s="8" t="s">
        <v>18</v>
      </c>
      <c r="C6" s="23">
        <f>IFERROR(VLOOKUP(B6,Sheet8!$T$2:$V$63,3,FALSE),"-")</f>
        <v>0</v>
      </c>
      <c r="D6" s="23">
        <f>IFERROR(VLOOKUP(B6,Sheet8!$O$2:$Q$65,3,FALSE),"-")</f>
        <v>0</v>
      </c>
      <c r="E6" s="23">
        <f>IFERROR(VLOOKUP(B6,Sheet8!$J$2:$L$74,3,FALSE),"-")</f>
        <v>0</v>
      </c>
      <c r="F6" s="23">
        <f>VLOOKUP(B6,Sheet8!$F$2:$H$74,3,FALSE)</f>
        <v>0</v>
      </c>
      <c r="G6" s="23">
        <f>VLOOKUP(B6,Sheet8!$A$2:$C$75,3,FALSE)</f>
        <v>0</v>
      </c>
      <c r="H6" s="23">
        <v>0</v>
      </c>
    </row>
    <row r="7" spans="1:8" x14ac:dyDescent="0.35">
      <c r="A7" s="5" t="s">
        <v>19</v>
      </c>
      <c r="B7" s="9" t="s">
        <v>20</v>
      </c>
      <c r="C7" s="23">
        <f>IFERROR(VLOOKUP(B7,Sheet8!$T$2:$V$63,3,FALSE),"-")</f>
        <v>21438.580573797863</v>
      </c>
      <c r="D7" s="23">
        <f>IFERROR(VLOOKUP(B7,Sheet8!$O$2:$Q$65,3,FALSE),"-")</f>
        <v>21438.580573797863</v>
      </c>
      <c r="E7" s="23">
        <f>IFERROR(VLOOKUP(B7,Sheet8!$J$2:$L$74,3,FALSE),"-")</f>
        <v>19939.215856425271</v>
      </c>
      <c r="F7" s="23">
        <f>VLOOKUP(B7,Sheet8!$F$2:$H$74,3,FALSE)</f>
        <v>19939.215856425271</v>
      </c>
      <c r="G7" s="23">
        <f>VLOOKUP(B7,Sheet8!$A$2:$C$75,3,FALSE)</f>
        <v>26710.444497541695</v>
      </c>
      <c r="H7" s="23">
        <v>25089.125</v>
      </c>
    </row>
    <row r="8" spans="1:8" x14ac:dyDescent="0.35">
      <c r="A8" s="7" t="s">
        <v>21</v>
      </c>
      <c r="B8" s="8" t="s">
        <v>22</v>
      </c>
      <c r="C8" s="23">
        <f>IFERROR(VLOOKUP(B8,Sheet8!$T$2:$V$63,3,FALSE),"-")</f>
        <v>35172.582161472295</v>
      </c>
      <c r="D8" s="23">
        <f>IFERROR(VLOOKUP(B8,Sheet8!$O$2:$Q$65,3,FALSE),"-")</f>
        <v>35172.582161472295</v>
      </c>
      <c r="E8" s="23">
        <f>IFERROR(VLOOKUP(B8,Sheet8!$J$2:$L$74,3,FALSE),"-")</f>
        <v>27794.04999987008</v>
      </c>
      <c r="F8" s="23">
        <f>VLOOKUP(B8,Sheet8!$F$2:$H$74,3,FALSE)</f>
        <v>27794.04999987008</v>
      </c>
      <c r="G8" s="23">
        <f>VLOOKUP(B8,Sheet8!$A$2:$C$75,3,FALSE)</f>
        <v>27500</v>
      </c>
      <c r="H8" s="23">
        <v>29615.909090909092</v>
      </c>
    </row>
    <row r="9" spans="1:8" x14ac:dyDescent="0.35">
      <c r="A9" s="5" t="s">
        <v>23</v>
      </c>
      <c r="B9" s="6" t="s">
        <v>24</v>
      </c>
      <c r="C9" s="23">
        <f>IFERROR(VLOOKUP(B9,Sheet8!$T$2:$V$63,3,FALSE),"-")</f>
        <v>4534.79376572821</v>
      </c>
      <c r="D9" s="23">
        <f>IFERROR(VLOOKUP(B9,Sheet8!$O$2:$Q$65,3,FALSE),"-")</f>
        <v>4534.79376572821</v>
      </c>
      <c r="E9" s="23">
        <f>IFERROR(VLOOKUP(B9,Sheet8!$J$2:$L$74,3,FALSE),"-")</f>
        <v>5484.505276679869</v>
      </c>
      <c r="F9" s="23">
        <f>VLOOKUP(B9,Sheet8!$F$2:$H$74,3,FALSE)</f>
        <v>5484.505276679869</v>
      </c>
      <c r="G9" s="23">
        <f>VLOOKUP(B9,Sheet8!$A$2:$C$75,3,FALSE)</f>
        <v>8300</v>
      </c>
      <c r="H9" s="23">
        <v>6692</v>
      </c>
    </row>
    <row r="10" spans="1:8" x14ac:dyDescent="0.35">
      <c r="A10" s="7" t="s">
        <v>25</v>
      </c>
      <c r="B10" s="8" t="s">
        <v>26</v>
      </c>
      <c r="C10" s="23">
        <f>IFERROR(VLOOKUP(B10,Sheet8!$T$2:$V$63,3,FALSE),"-")</f>
        <v>775</v>
      </c>
      <c r="D10" s="23">
        <f>IFERROR(VLOOKUP(B10,Sheet8!$O$2:$Q$65,3,FALSE),"-")</f>
        <v>775</v>
      </c>
      <c r="E10" s="23">
        <f>IFERROR(VLOOKUP(B10,Sheet8!$J$2:$L$74,3,FALSE),"-")</f>
        <v>5004.7972487732613</v>
      </c>
      <c r="F10" s="23">
        <f>VLOOKUP(B10,Sheet8!$F$2:$H$74,3,FALSE)</f>
        <v>5004.7972487732613</v>
      </c>
      <c r="G10" s="23">
        <f>VLOOKUP(B10,Sheet8!$A$2:$C$75,3,FALSE)</f>
        <v>3800</v>
      </c>
      <c r="H10" s="23">
        <v>4000</v>
      </c>
    </row>
    <row r="11" spans="1:8" x14ac:dyDescent="0.35">
      <c r="A11" s="10" t="s">
        <v>27</v>
      </c>
      <c r="B11" s="6" t="s">
        <v>28</v>
      </c>
      <c r="C11" s="23">
        <f>IFERROR(VLOOKUP(B11,Sheet8!$T$2:$V$63,3,FALSE),"-")</f>
        <v>27295.806219045851</v>
      </c>
      <c r="D11" s="23">
        <f>IFERROR(VLOOKUP(B11,Sheet8!$O$2:$Q$65,3,FALSE),"-")</f>
        <v>27295.806219045851</v>
      </c>
      <c r="E11" s="23">
        <f>IFERROR(VLOOKUP(B11,Sheet8!$J$2:$L$74,3,FALSE),"-")</f>
        <v>33641.920311088717</v>
      </c>
      <c r="F11" s="23">
        <f>VLOOKUP(B11,Sheet8!$F$2:$H$74,3,FALSE)</f>
        <v>33641.920311088717</v>
      </c>
      <c r="G11" s="23">
        <f>VLOOKUP(B11,Sheet8!$A$2:$C$75,3,FALSE)</f>
        <v>41160.703437072618</v>
      </c>
      <c r="H11" s="23">
        <v>40596.875</v>
      </c>
    </row>
    <row r="12" spans="1:8" x14ac:dyDescent="0.35">
      <c r="A12" s="10" t="s">
        <v>29</v>
      </c>
      <c r="B12" s="6" t="s">
        <v>30</v>
      </c>
      <c r="C12" s="23" t="str">
        <f>IFERROR(VLOOKUP(B12,Sheet8!$T$2:$V$63,3,FALSE),"-")</f>
        <v>-</v>
      </c>
      <c r="D12" s="23" t="str">
        <f>IFERROR(VLOOKUP(B12,Sheet8!$O$2:$Q$65,3,FALSE),"-")</f>
        <v>-</v>
      </c>
      <c r="E12" s="23">
        <f>IFERROR(VLOOKUP(B12,Sheet8!$J$2:$L$74,3,FALSE),"-")</f>
        <v>3250</v>
      </c>
      <c r="F12" s="23">
        <f>VLOOKUP(B12,Sheet8!$F$2:$H$74,3,FALSE)</f>
        <v>3250</v>
      </c>
      <c r="G12" s="23">
        <f>VLOOKUP(B12,Sheet8!$A$2:$C$75,3,FALSE)</f>
        <v>4500</v>
      </c>
      <c r="H12" s="23">
        <v>4975</v>
      </c>
    </row>
    <row r="13" spans="1:8" x14ac:dyDescent="0.35">
      <c r="A13" s="10" t="s">
        <v>31</v>
      </c>
      <c r="B13" s="6" t="s">
        <v>32</v>
      </c>
      <c r="C13" s="23" t="str">
        <f>IFERROR(VLOOKUP(B13,Sheet8!$T$2:$V$63,3,FALSE),"-")</f>
        <v>-</v>
      </c>
      <c r="D13" s="23" t="str">
        <f>IFERROR(VLOOKUP(B13,Sheet8!$O$2:$Q$65,3,FALSE),"-")</f>
        <v>-</v>
      </c>
      <c r="E13" s="23">
        <f>IFERROR(VLOOKUP(B13,Sheet8!$J$2:$L$74,3,FALSE),"-")</f>
        <v>2800</v>
      </c>
      <c r="F13" s="23">
        <f>VLOOKUP(B13,Sheet8!$F$2:$H$74,3,FALSE)</f>
        <v>2800</v>
      </c>
      <c r="G13" s="23">
        <f>VLOOKUP(B13,Sheet8!$A$2:$C$75,3,FALSE)</f>
        <v>4000</v>
      </c>
      <c r="H13" s="23">
        <v>4625</v>
      </c>
    </row>
    <row r="14" spans="1:8" x14ac:dyDescent="0.35">
      <c r="A14" s="10" t="s">
        <v>33</v>
      </c>
      <c r="B14" s="8" t="s">
        <v>34</v>
      </c>
      <c r="C14" s="23">
        <f>IFERROR(VLOOKUP(B14,Sheet8!$T$2:$V$63,3,FALSE),"-")</f>
        <v>4937.2165944862427</v>
      </c>
      <c r="D14" s="23">
        <f>IFERROR(VLOOKUP(B14,Sheet8!$O$2:$Q$65,3,FALSE),"-")</f>
        <v>4937.2165944862427</v>
      </c>
      <c r="E14" s="23">
        <f>IFERROR(VLOOKUP(B14,Sheet8!$J$2:$L$74,3,FALSE),"-")</f>
        <v>9800</v>
      </c>
      <c r="F14" s="23">
        <f>VLOOKUP(B14,Sheet8!$F$2:$H$74,3,FALSE)</f>
        <v>9800</v>
      </c>
      <c r="G14" s="23">
        <f>VLOOKUP(B14,Sheet8!$A$2:$C$75,3,FALSE)</f>
        <v>11700</v>
      </c>
      <c r="H14" s="23">
        <v>6684.8082954545462</v>
      </c>
    </row>
    <row r="15" spans="1:8" x14ac:dyDescent="0.35">
      <c r="A15" s="10" t="s">
        <v>35</v>
      </c>
      <c r="B15" s="8" t="s">
        <v>36</v>
      </c>
      <c r="C15" s="23">
        <f>IFERROR(VLOOKUP(B15,Sheet8!$T$2:$V$63,3,FALSE),"-")</f>
        <v>3945.215555879503</v>
      </c>
      <c r="D15" s="23">
        <f>IFERROR(VLOOKUP(B15,Sheet8!$O$2:$Q$65,3,FALSE),"-")</f>
        <v>3945.215555879503</v>
      </c>
      <c r="E15" s="23">
        <f>IFERROR(VLOOKUP(B15,Sheet8!$J$2:$L$74,3,FALSE),"-")</f>
        <v>8000</v>
      </c>
      <c r="F15" s="23">
        <f>VLOOKUP(B15,Sheet8!$F$2:$H$74,3,FALSE)</f>
        <v>8000</v>
      </c>
      <c r="G15" s="23">
        <f>VLOOKUP(B15,Sheet8!$A$2:$C$75,3,FALSE)</f>
        <v>7700</v>
      </c>
      <c r="H15" s="23">
        <v>4600</v>
      </c>
    </row>
    <row r="16" spans="1:8" x14ac:dyDescent="0.35">
      <c r="A16" s="10" t="s">
        <v>37</v>
      </c>
      <c r="B16" s="6" t="s">
        <v>38</v>
      </c>
      <c r="C16" s="23">
        <f>IFERROR(VLOOKUP(B16,Sheet8!$T$2:$V$63,3,FALSE),"-")</f>
        <v>14235.667430925721</v>
      </c>
      <c r="D16" s="23">
        <f>IFERROR(VLOOKUP(B16,Sheet8!$O$2:$Q$65,3,FALSE),"-")</f>
        <v>14235.667430925721</v>
      </c>
      <c r="E16" s="23">
        <f>IFERROR(VLOOKUP(B16,Sheet8!$J$2:$L$74,3,FALSE),"-")</f>
        <v>14521.916004518815</v>
      </c>
      <c r="F16" s="23">
        <f>VLOOKUP(B16,Sheet8!$F$2:$H$74,3,FALSE)</f>
        <v>14521.916004518815</v>
      </c>
      <c r="G16" s="23">
        <f>VLOOKUP(B16,Sheet8!$A$2:$C$75,3,FALSE)</f>
        <v>20200</v>
      </c>
      <c r="H16" s="23">
        <v>25319.693791946309</v>
      </c>
    </row>
    <row r="17" spans="1:8" x14ac:dyDescent="0.35">
      <c r="A17" s="5" t="s">
        <v>39</v>
      </c>
      <c r="B17" s="6" t="s">
        <v>40</v>
      </c>
      <c r="C17" s="23">
        <f>IFERROR(VLOOKUP(B17,Sheet8!$T$2:$V$63,3,FALSE),"-")</f>
        <v>674.4767971462104</v>
      </c>
      <c r="D17" s="23">
        <f>IFERROR(VLOOKUP(B17,Sheet8!$O$2:$Q$65,3,FALSE),"-")</f>
        <v>674.4767971462104</v>
      </c>
      <c r="E17" s="23">
        <f>IFERROR(VLOOKUP(B17,Sheet8!$J$2:$L$74,3,FALSE),"-")</f>
        <v>1500</v>
      </c>
      <c r="F17" s="23">
        <f>VLOOKUP(B17,Sheet8!$F$2:$H$74,3,FALSE)</f>
        <v>1500</v>
      </c>
      <c r="G17" s="23">
        <f>VLOOKUP(B17,Sheet8!$A$2:$C$75,3,FALSE)</f>
        <v>2400</v>
      </c>
      <c r="H17" s="23">
        <v>1940</v>
      </c>
    </row>
    <row r="18" spans="1:8" x14ac:dyDescent="0.35">
      <c r="A18" s="7" t="s">
        <v>41</v>
      </c>
      <c r="B18" s="8" t="s">
        <v>42</v>
      </c>
      <c r="C18" s="23">
        <f>IFERROR(VLOOKUP(B18,Sheet8!$T$2:$V$63,3,FALSE),"-")</f>
        <v>3888.8818884253801</v>
      </c>
      <c r="D18" s="23">
        <f>IFERROR(VLOOKUP(B18,Sheet8!$O$2:$Q$65,3,FALSE),"-")</f>
        <v>3888.8818884253801</v>
      </c>
      <c r="E18" s="23">
        <f>IFERROR(VLOOKUP(B18,Sheet8!$J$2:$L$74,3,FALSE),"-")</f>
        <v>4449.1619038501449</v>
      </c>
      <c r="F18" s="23">
        <f>VLOOKUP(B18,Sheet8!$F$2:$H$74,3,FALSE)</f>
        <v>4449.1619038501449</v>
      </c>
      <c r="G18" s="23">
        <f>VLOOKUP(B18,Sheet8!$A$2:$C$75,3,FALSE)</f>
        <v>6400</v>
      </c>
      <c r="H18" s="23">
        <v>7326.363636363636</v>
      </c>
    </row>
    <row r="19" spans="1:8" x14ac:dyDescent="0.35">
      <c r="A19" s="3" t="s">
        <v>43</v>
      </c>
      <c r="B19" s="4"/>
      <c r="C19" s="4"/>
      <c r="D19" s="4"/>
      <c r="E19" s="4"/>
      <c r="F19" s="4"/>
      <c r="G19" s="4"/>
      <c r="H19" s="24"/>
    </row>
    <row r="20" spans="1:8" x14ac:dyDescent="0.35">
      <c r="A20" s="5" t="s">
        <v>44</v>
      </c>
      <c r="B20" s="6" t="s">
        <v>45</v>
      </c>
      <c r="C20" s="23">
        <f>IFERROR(VLOOKUP(B20,Sheet8!$T$2:$V$63,3,FALSE),"-")</f>
        <v>43854.272059975767</v>
      </c>
      <c r="D20" s="23">
        <f>IFERROR(VLOOKUP(B20,Sheet8!$O$2:$Q$65,3,FALSE),"-")</f>
        <v>43854.272059975767</v>
      </c>
      <c r="E20" s="23">
        <f>IFERROR(VLOOKUP(B20,Sheet8!$J$2:$L$74,3,FALSE),"-")</f>
        <v>39377.762132179334</v>
      </c>
      <c r="F20" s="23">
        <f>VLOOKUP(B20,Sheet8!$F$2:$H$74,3,FALSE)</f>
        <v>39377.762132179334</v>
      </c>
      <c r="G20" s="23">
        <f>VLOOKUP(B20,Sheet8!$A$2:$C$75,3,FALSE)</f>
        <v>41500</v>
      </c>
      <c r="H20" s="23">
        <v>38042.869565217392</v>
      </c>
    </row>
    <row r="21" spans="1:8" x14ac:dyDescent="0.35">
      <c r="A21" s="5" t="s">
        <v>46</v>
      </c>
      <c r="B21" s="6" t="s">
        <v>47</v>
      </c>
      <c r="C21" s="23">
        <f>IFERROR(VLOOKUP(B21,Sheet8!$T$2:$V$63,3,FALSE),"-")</f>
        <v>1000</v>
      </c>
      <c r="D21" s="23">
        <f>IFERROR(VLOOKUP(B21,Sheet8!$O$2:$Q$65,3,FALSE),"-")</f>
        <v>1000</v>
      </c>
      <c r="E21" s="23">
        <f>IFERROR(VLOOKUP(B21,Sheet8!$J$2:$L$74,3,FALSE),"-")</f>
        <v>1000</v>
      </c>
      <c r="F21" s="23">
        <f>VLOOKUP(B21,Sheet8!$F$2:$H$74,3,FALSE)</f>
        <v>1000</v>
      </c>
      <c r="G21" s="23">
        <f>VLOOKUP(B21,Sheet8!$A$2:$C$75,3,FALSE)</f>
        <v>1500</v>
      </c>
      <c r="H21" s="23">
        <v>1500</v>
      </c>
    </row>
    <row r="22" spans="1:8" x14ac:dyDescent="0.35">
      <c r="A22" s="10" t="s">
        <v>48</v>
      </c>
      <c r="B22" s="6" t="s">
        <v>49</v>
      </c>
      <c r="C22" s="23">
        <f>IFERROR(VLOOKUP(B22,Sheet8!$T$2:$V$63,3,FALSE),"-")</f>
        <v>23446.594304698723</v>
      </c>
      <c r="D22" s="23">
        <f>IFERROR(VLOOKUP(B22,Sheet8!$O$2:$Q$65,3,FALSE),"-")</f>
        <v>23446.594304698723</v>
      </c>
      <c r="E22" s="23">
        <f>IFERROR(VLOOKUP(B22,Sheet8!$J$2:$L$74,3,FALSE),"-")</f>
        <v>24387.527835857683</v>
      </c>
      <c r="F22" s="23">
        <f>VLOOKUP(B22,Sheet8!$F$2:$H$74,3,FALSE)</f>
        <v>24387.527835857683</v>
      </c>
      <c r="G22" s="23">
        <f>VLOOKUP(B22,Sheet8!$A$2:$C$75,3,FALSE)</f>
        <v>30500</v>
      </c>
      <c r="H22" s="23">
        <v>27177.739130434784</v>
      </c>
    </row>
    <row r="23" spans="1:8" x14ac:dyDescent="0.35">
      <c r="A23" s="5" t="s">
        <v>50</v>
      </c>
      <c r="B23" s="6" t="s">
        <v>51</v>
      </c>
      <c r="C23" s="23">
        <f>IFERROR(VLOOKUP(B23,Sheet8!$T$2:$V$63,3,FALSE),"-")</f>
        <v>92890.700154236532</v>
      </c>
      <c r="D23" s="23">
        <f>IFERROR(VLOOKUP(B23,Sheet8!$O$2:$Q$65,3,FALSE),"-")</f>
        <v>92890.700154236532</v>
      </c>
      <c r="E23" s="23">
        <f>IFERROR(VLOOKUP(B23,Sheet8!$J$2:$L$74,3,FALSE),"-")</f>
        <v>105568.79379410649</v>
      </c>
      <c r="F23" s="23">
        <f>VLOOKUP(B23,Sheet8!$F$2:$H$74,3,FALSE)</f>
        <v>105568.79379410649</v>
      </c>
      <c r="G23" s="23">
        <f>VLOOKUP(B23,Sheet8!$A$2:$C$75,3,FALSE)</f>
        <v>152000</v>
      </c>
      <c r="H23" s="23">
        <v>159792.26086956522</v>
      </c>
    </row>
    <row r="24" spans="1:8" x14ac:dyDescent="0.35">
      <c r="A24" s="5" t="s">
        <v>52</v>
      </c>
      <c r="B24" s="6" t="s">
        <v>53</v>
      </c>
      <c r="C24" s="23">
        <f>IFERROR(VLOOKUP(B24,Sheet8!$T$2:$V$63,3,FALSE),"-")</f>
        <v>7708.6890741835396</v>
      </c>
      <c r="D24" s="23">
        <f>IFERROR(VLOOKUP(B24,Sheet8!$O$2:$Q$65,3,FALSE),"-")</f>
        <v>7708.6890741835396</v>
      </c>
      <c r="E24" s="23">
        <f>IFERROR(VLOOKUP(B24,Sheet8!$J$2:$L$74,3,FALSE),"-")</f>
        <v>8173.1115822004913</v>
      </c>
      <c r="F24" s="23">
        <f>VLOOKUP(B24,Sheet8!$F$2:$H$74,3,FALSE)</f>
        <v>8173.1115822004913</v>
      </c>
      <c r="G24" s="23">
        <f>VLOOKUP(B24,Sheet8!$A$2:$C$75,3,FALSE)</f>
        <v>9000</v>
      </c>
      <c r="H24" s="23">
        <v>9350</v>
      </c>
    </row>
    <row r="25" spans="1:8" x14ac:dyDescent="0.35">
      <c r="A25" s="10" t="s">
        <v>54</v>
      </c>
      <c r="B25" s="6" t="s">
        <v>55</v>
      </c>
      <c r="C25" s="23">
        <f>IFERROR(VLOOKUP(B25,Sheet8!$T$2:$V$63,3,FALSE),"-")</f>
        <v>19513.554148769726</v>
      </c>
      <c r="D25" s="23">
        <f>IFERROR(VLOOKUP(B25,Sheet8!$O$2:$Q$65,3,FALSE),"-")</f>
        <v>19513.554148769726</v>
      </c>
      <c r="E25" s="23">
        <f>IFERROR(VLOOKUP(B25,Sheet8!$J$2:$L$74,3,FALSE),"-")</f>
        <v>14949.538670777554</v>
      </c>
      <c r="F25" s="23">
        <f>VLOOKUP(B25,Sheet8!$F$2:$H$74,3,FALSE)</f>
        <v>14949.538670777554</v>
      </c>
      <c r="G25" s="23">
        <f>VLOOKUP(B25,Sheet8!$A$2:$C$75,3,FALSE)</f>
        <v>10900</v>
      </c>
      <c r="H25" s="23">
        <v>10201</v>
      </c>
    </row>
    <row r="26" spans="1:8" x14ac:dyDescent="0.35">
      <c r="A26" s="10" t="s">
        <v>56</v>
      </c>
      <c r="B26" s="11" t="s">
        <v>57</v>
      </c>
      <c r="C26" s="23">
        <f>IFERROR(VLOOKUP(B26,Sheet8!$T$2:$V$63,3,FALSE),"-")</f>
        <v>7199.770240150292</v>
      </c>
      <c r="D26" s="23">
        <f>IFERROR(VLOOKUP(B26,Sheet8!$O$2:$Q$65,3,FALSE),"-")</f>
        <v>7199.770240150292</v>
      </c>
      <c r="E26" s="23">
        <f>IFERROR(VLOOKUP(B26,Sheet8!$J$2:$L$74,3,FALSE),"-")</f>
        <v>7729.9887221327181</v>
      </c>
      <c r="F26" s="23">
        <f>VLOOKUP(B26,Sheet8!$F$2:$H$74,3,FALSE)</f>
        <v>7729.9887221327181</v>
      </c>
      <c r="G26" s="23">
        <f>VLOOKUP(B26,Sheet8!$A$2:$C$75,3,FALSE)</f>
        <v>8321.6557040862826</v>
      </c>
      <c r="H26" s="23">
        <v>8205.5729188819678</v>
      </c>
    </row>
    <row r="27" spans="1:8" x14ac:dyDescent="0.35">
      <c r="A27" s="10" t="s">
        <v>58</v>
      </c>
      <c r="B27" s="11" t="s">
        <v>59</v>
      </c>
      <c r="C27" s="23">
        <f>IFERROR(VLOOKUP(B27,Sheet8!$T$2:$V$63,3,FALSE),"-")</f>
        <v>7137.2410467883656</v>
      </c>
      <c r="D27" s="23">
        <f>IFERROR(VLOOKUP(B27,Sheet8!$O$2:$Q$65,3,FALSE),"-")</f>
        <v>7137.2410467883656</v>
      </c>
      <c r="E27" s="23">
        <f>IFERROR(VLOOKUP(B27,Sheet8!$J$2:$L$74,3,FALSE),"-")</f>
        <v>10049.781531906452</v>
      </c>
      <c r="F27" s="23">
        <f>VLOOKUP(B27,Sheet8!$F$2:$H$74,3,FALSE)</f>
        <v>10049.781531906452</v>
      </c>
      <c r="G27" s="23">
        <f>VLOOKUP(B27,Sheet8!$A$2:$C$75,3,FALSE)</f>
        <v>12500</v>
      </c>
      <c r="H27" s="23">
        <v>12700</v>
      </c>
    </row>
    <row r="28" spans="1:8" x14ac:dyDescent="0.35">
      <c r="A28" s="10" t="s">
        <v>60</v>
      </c>
      <c r="B28" s="11" t="s">
        <v>61</v>
      </c>
      <c r="C28" s="23">
        <f>IFERROR(VLOOKUP(B28,Sheet8!$T$2:$V$63,3,FALSE),"-")</f>
        <v>43059.572864623784</v>
      </c>
      <c r="D28" s="23">
        <f>IFERROR(VLOOKUP(B28,Sheet8!$O$2:$Q$65,3,FALSE),"-")</f>
        <v>43059.572864623784</v>
      </c>
      <c r="E28" s="23">
        <f>IFERROR(VLOOKUP(B28,Sheet8!$J$2:$L$74,3,FALSE),"-")</f>
        <v>48086.526251567389</v>
      </c>
      <c r="F28" s="23">
        <f>VLOOKUP(B28,Sheet8!$F$2:$H$74,3,FALSE)</f>
        <v>48086.526251567389</v>
      </c>
      <c r="G28" s="23">
        <f>VLOOKUP(B28,Sheet8!$A$2:$C$75,3,FALSE)</f>
        <v>54500</v>
      </c>
      <c r="H28" s="23">
        <v>54900</v>
      </c>
    </row>
    <row r="29" spans="1:8" x14ac:dyDescent="0.35">
      <c r="A29" s="10" t="s">
        <v>62</v>
      </c>
      <c r="B29" s="6" t="s">
        <v>63</v>
      </c>
      <c r="C29" s="23">
        <f>IFERROR(VLOOKUP(B29,Sheet8!$T$2:$V$63,3,FALSE),"-")</f>
        <v>4585.7010902100783</v>
      </c>
      <c r="D29" s="23">
        <f>IFERROR(VLOOKUP(B29,Sheet8!$O$2:$Q$65,3,FALSE),"-")</f>
        <v>4585.7010902100783</v>
      </c>
      <c r="E29" s="23">
        <f>IFERROR(VLOOKUP(B29,Sheet8!$J$2:$L$74,3,FALSE),"-")</f>
        <v>4548.9254704773357</v>
      </c>
      <c r="F29" s="23">
        <f>VLOOKUP(B29,Sheet8!$F$2:$H$74,3,FALSE)</f>
        <v>4548.9254704773357</v>
      </c>
      <c r="G29" s="23">
        <f>VLOOKUP(B29,Sheet8!$A$2:$C$75,3,FALSE)</f>
        <v>5014.0246005938061</v>
      </c>
      <c r="H29" s="23">
        <v>4032.3050926056817</v>
      </c>
    </row>
    <row r="30" spans="1:8" x14ac:dyDescent="0.35">
      <c r="A30" s="12" t="s">
        <v>64</v>
      </c>
      <c r="B30" s="13" t="s">
        <v>65</v>
      </c>
      <c r="C30" s="23">
        <f>IFERROR(VLOOKUP(B30,Sheet8!$T$2:$V$63,3,FALSE),"-")</f>
        <v>100</v>
      </c>
      <c r="D30" s="23">
        <f>IFERROR(VLOOKUP(B30,Sheet8!$O$2:$Q$65,3,FALSE),"-")</f>
        <v>100</v>
      </c>
      <c r="E30" s="23">
        <f>IFERROR(VLOOKUP(B30,Sheet8!$J$2:$L$74,3,FALSE),"-")</f>
        <v>0</v>
      </c>
      <c r="F30" s="23">
        <f>VLOOKUP(B30,Sheet8!$F$2:$H$74,3,FALSE)</f>
        <v>0</v>
      </c>
      <c r="G30" s="23">
        <f>VLOOKUP(B30,Sheet8!$A$2:$C$75,3,FALSE)</f>
        <v>0</v>
      </c>
      <c r="H30" s="23">
        <v>0</v>
      </c>
    </row>
    <row r="31" spans="1:8" x14ac:dyDescent="0.35">
      <c r="A31" s="3" t="s">
        <v>66</v>
      </c>
      <c r="B31" s="14"/>
      <c r="C31" s="14"/>
      <c r="D31" s="14"/>
      <c r="E31" s="14"/>
      <c r="F31" s="14"/>
      <c r="G31" s="14"/>
      <c r="H31" s="18"/>
    </row>
    <row r="32" spans="1:8" x14ac:dyDescent="0.35">
      <c r="A32" s="10" t="s">
        <v>67</v>
      </c>
      <c r="B32" s="6" t="s">
        <v>68</v>
      </c>
      <c r="C32" s="23">
        <f>IFERROR(VLOOKUP(B32,Sheet8!$T$2:$V$63,3,FALSE),"-")</f>
        <v>52491.809879966793</v>
      </c>
      <c r="D32" s="23">
        <f>IFERROR(VLOOKUP(B32,Sheet8!$O$2:$Q$65,3,FALSE),"-")</f>
        <v>52491.809879966793</v>
      </c>
      <c r="E32" s="23">
        <f>IFERROR(VLOOKUP(B32,Sheet8!$J$2:$L$74,3,FALSE),"-")</f>
        <v>65525.572031098753</v>
      </c>
      <c r="F32" s="23">
        <f>VLOOKUP(B32,Sheet8!$F$2:$H$74,3,FALSE)</f>
        <v>65525.572031098753</v>
      </c>
      <c r="G32" s="23">
        <f>VLOOKUP(B32,Sheet8!$A$2:$C$75,3,FALSE)</f>
        <v>78500</v>
      </c>
      <c r="H32" s="23">
        <v>81541.460869565213</v>
      </c>
    </row>
    <row r="33" spans="1:8" x14ac:dyDescent="0.35">
      <c r="A33" s="5" t="s">
        <v>69</v>
      </c>
      <c r="B33" s="6" t="s">
        <v>70</v>
      </c>
      <c r="C33" s="23">
        <f>IFERROR(VLOOKUP(B33,Sheet8!$T$2:$V$63,3,FALSE),"-")</f>
        <v>13706.729227560225</v>
      </c>
      <c r="D33" s="23">
        <f>IFERROR(VLOOKUP(B33,Sheet8!$O$2:$Q$65,3,FALSE),"-")</f>
        <v>13706.729227560225</v>
      </c>
      <c r="E33" s="23">
        <f>IFERROR(VLOOKUP(B33,Sheet8!$J$2:$L$74,3,FALSE),"-")</f>
        <v>17347.345498566454</v>
      </c>
      <c r="F33" s="23">
        <f>VLOOKUP(B33,Sheet8!$F$2:$H$74,3,FALSE)</f>
        <v>17347.345498566454</v>
      </c>
      <c r="G33" s="23">
        <f>VLOOKUP(B33,Sheet8!$A$2:$C$75,3,FALSE)</f>
        <v>20500</v>
      </c>
      <c r="H33" s="23">
        <v>20595.878260869566</v>
      </c>
    </row>
    <row r="34" spans="1:8" x14ac:dyDescent="0.35">
      <c r="A34" s="5" t="s">
        <v>71</v>
      </c>
      <c r="B34" s="15" t="s">
        <v>72</v>
      </c>
      <c r="C34" s="23">
        <f>IFERROR(VLOOKUP(B34,Sheet8!$T$2:$V$63,3,FALSE),"-")</f>
        <v>9080.3583419834013</v>
      </c>
      <c r="D34" s="23">
        <f>IFERROR(VLOOKUP(B34,Sheet8!$O$2:$Q$65,3,FALSE),"-")</f>
        <v>9080.3583419834013</v>
      </c>
      <c r="E34" s="23">
        <f>IFERROR(VLOOKUP(B34,Sheet8!$J$2:$L$74,3,FALSE),"-")</f>
        <v>10353.354194474241</v>
      </c>
      <c r="F34" s="23">
        <f>VLOOKUP(B34,Sheet8!$F$2:$H$74,3,FALSE)</f>
        <v>10353.354194474241</v>
      </c>
      <c r="G34" s="23">
        <f>VLOOKUP(B34,Sheet8!$A$2:$C$75,3,FALSE)</f>
        <v>12100</v>
      </c>
      <c r="H34" s="23">
        <v>13815</v>
      </c>
    </row>
    <row r="35" spans="1:8" x14ac:dyDescent="0.35">
      <c r="A35" s="10" t="s">
        <v>73</v>
      </c>
      <c r="B35" s="6" t="s">
        <v>74</v>
      </c>
      <c r="C35" s="23">
        <f>IFERROR(VLOOKUP(B35,Sheet8!$T$2:$V$63,3,FALSE),"-")</f>
        <v>2551.4118284093256</v>
      </c>
      <c r="D35" s="23">
        <f>IFERROR(VLOOKUP(B35,Sheet8!$O$2:$Q$65,3,FALSE),"-")</f>
        <v>2551.4118284093256</v>
      </c>
      <c r="E35" s="23">
        <f>IFERROR(VLOOKUP(B35,Sheet8!$J$2:$L$74,3,FALSE),"-")</f>
        <v>2025.0130618122628</v>
      </c>
      <c r="F35" s="23">
        <f>VLOOKUP(B35,Sheet8!$F$2:$H$74,3,FALSE)</f>
        <v>2025.0130618122628</v>
      </c>
      <c r="G35" s="23">
        <f>VLOOKUP(B35,Sheet8!$A$2:$C$75,3,FALSE)</f>
        <v>2600</v>
      </c>
      <c r="H35" s="23">
        <v>2022.0129870129867</v>
      </c>
    </row>
    <row r="36" spans="1:8" x14ac:dyDescent="0.35">
      <c r="A36" s="10" t="s">
        <v>75</v>
      </c>
      <c r="B36" s="6" t="s">
        <v>76</v>
      </c>
      <c r="C36" s="23">
        <f>IFERROR(VLOOKUP(B36,Sheet8!$T$2:$V$63,3,FALSE),"-")</f>
        <v>3432.7444135466631</v>
      </c>
      <c r="D36" s="23">
        <f>IFERROR(VLOOKUP(B36,Sheet8!$O$2:$Q$65,3,FALSE),"-")</f>
        <v>3432.7444135466631</v>
      </c>
      <c r="E36" s="23">
        <f>IFERROR(VLOOKUP(B36,Sheet8!$J$2:$L$74,3,FALSE),"-")</f>
        <v>2769.4814787899331</v>
      </c>
      <c r="F36" s="23">
        <f>VLOOKUP(B36,Sheet8!$F$2:$H$74,3,FALSE)</f>
        <v>2769.4814787899331</v>
      </c>
      <c r="G36" s="23">
        <f>VLOOKUP(B36,Sheet8!$A$2:$C$75,3,FALSE)</f>
        <v>3531.7173017049663</v>
      </c>
      <c r="H36" s="23">
        <v>3037.5896103896102</v>
      </c>
    </row>
    <row r="37" spans="1:8" x14ac:dyDescent="0.35">
      <c r="A37" s="12" t="s">
        <v>77</v>
      </c>
      <c r="B37" s="13" t="s">
        <v>78</v>
      </c>
      <c r="C37" s="23">
        <f>IFERROR(VLOOKUP(B37,Sheet8!$T$2:$V$63,3,FALSE),"-")</f>
        <v>0</v>
      </c>
      <c r="D37" s="23">
        <f>IFERROR(VLOOKUP(B37,Sheet8!$O$2:$Q$65,3,FALSE),"-")</f>
        <v>0</v>
      </c>
      <c r="E37" s="23">
        <f>IFERROR(VLOOKUP(B37,Sheet8!$J$2:$L$74,3,FALSE),"-")</f>
        <v>0</v>
      </c>
      <c r="F37" s="23">
        <f>VLOOKUP(B37,Sheet8!$F$2:$H$74,3,FALSE)</f>
        <v>0</v>
      </c>
      <c r="G37" s="23">
        <f>VLOOKUP(B37,Sheet8!$A$2:$C$75,3,FALSE)</f>
        <v>0</v>
      </c>
      <c r="H37" s="23">
        <v>0</v>
      </c>
    </row>
    <row r="38" spans="1:8" x14ac:dyDescent="0.35">
      <c r="A38" s="5" t="s">
        <v>79</v>
      </c>
      <c r="B38" s="6" t="s">
        <v>80</v>
      </c>
      <c r="C38" s="23" t="str">
        <f>IFERROR(VLOOKUP(B38,Sheet8!$T$2:$V$63,3,FALSE),"-")</f>
        <v>-</v>
      </c>
      <c r="D38" s="23" t="str">
        <f>IFERROR(VLOOKUP(B38,Sheet8!$O$2:$Q$65,3,FALSE),"-")</f>
        <v>-</v>
      </c>
      <c r="E38" s="23" t="str">
        <f>IFERROR(VLOOKUP(B38,Sheet8!$J$2:$L$74,3,FALSE),"-")</f>
        <v>-</v>
      </c>
      <c r="F38" s="23" t="str">
        <f>VLOOKUP(B38,Sheet8!$F$2:$H$74,3,FALSE)</f>
        <v>-</v>
      </c>
      <c r="G38" s="23" t="str">
        <f>VLOOKUP(B38,Sheet8!$A$2:$C$75,3,FALSE)</f>
        <v>-</v>
      </c>
      <c r="H38" s="25" t="s">
        <v>149</v>
      </c>
    </row>
    <row r="39" spans="1:8" x14ac:dyDescent="0.35">
      <c r="A39" s="10" t="s">
        <v>81</v>
      </c>
      <c r="B39" s="6" t="s">
        <v>82</v>
      </c>
      <c r="C39" s="23">
        <f>IFERROR(VLOOKUP(B39,Sheet8!$T$2:$V$63,3,FALSE),"-")</f>
        <v>2385.7289418329319</v>
      </c>
      <c r="D39" s="23">
        <f>IFERROR(VLOOKUP(B39,Sheet8!$O$2:$Q$65,3,FALSE),"-")</f>
        <v>2385.7289418329319</v>
      </c>
      <c r="E39" s="23">
        <f>IFERROR(VLOOKUP(B39,Sheet8!$J$2:$L$74,3,FALSE),"-")</f>
        <v>2620.5740160077426</v>
      </c>
      <c r="F39" s="23">
        <f>VLOOKUP(B39,Sheet8!$F$2:$H$74,3,FALSE)</f>
        <v>2620.5740160077426</v>
      </c>
      <c r="G39" s="23">
        <f>VLOOKUP(B39,Sheet8!$A$2:$C$75,3,FALSE)</f>
        <v>3142.720551724135</v>
      </c>
      <c r="H39" s="23">
        <v>2711.147402597403</v>
      </c>
    </row>
    <row r="40" spans="1:8" x14ac:dyDescent="0.35">
      <c r="A40" s="12" t="s">
        <v>83</v>
      </c>
      <c r="B40" s="13" t="s">
        <v>84</v>
      </c>
      <c r="C40" s="23">
        <f>IFERROR(VLOOKUP(B40,Sheet8!$T$2:$V$63,3,FALSE),"-")</f>
        <v>0</v>
      </c>
      <c r="D40" s="23">
        <f>IFERROR(VLOOKUP(B40,Sheet8!$O$2:$Q$65,3,FALSE),"-")</f>
        <v>0</v>
      </c>
      <c r="E40" s="23">
        <f>IFERROR(VLOOKUP(B40,Sheet8!$J$2:$L$74,3,FALSE),"-")</f>
        <v>0</v>
      </c>
      <c r="F40" s="23">
        <f>VLOOKUP(B40,Sheet8!$F$2:$H$74,3,FALSE)</f>
        <v>0</v>
      </c>
      <c r="G40" s="23">
        <f>VLOOKUP(B40,Sheet8!$A$2:$C$75,3,FALSE)</f>
        <v>0</v>
      </c>
      <c r="H40" s="23">
        <v>0</v>
      </c>
    </row>
    <row r="41" spans="1:8" x14ac:dyDescent="0.35">
      <c r="A41" s="12" t="s">
        <v>85</v>
      </c>
      <c r="B41" s="13" t="s">
        <v>86</v>
      </c>
      <c r="C41" s="23">
        <f>IFERROR(VLOOKUP(B41,Sheet8!$T$2:$V$63,3,FALSE),"-")</f>
        <v>0</v>
      </c>
      <c r="D41" s="23">
        <f>IFERROR(VLOOKUP(B41,Sheet8!$O$2:$Q$65,3,FALSE),"-")</f>
        <v>0</v>
      </c>
      <c r="E41" s="23">
        <f>IFERROR(VLOOKUP(B41,Sheet8!$J$2:$L$74,3,FALSE),"-")</f>
        <v>0</v>
      </c>
      <c r="F41" s="23">
        <f>VLOOKUP(B41,Sheet8!$F$2:$H$74,3,FALSE)</f>
        <v>0</v>
      </c>
      <c r="G41" s="23">
        <f>VLOOKUP(B41,Sheet8!$A$2:$C$75,3,FALSE)</f>
        <v>0</v>
      </c>
      <c r="H41" s="23">
        <v>0</v>
      </c>
    </row>
    <row r="42" spans="1:8" x14ac:dyDescent="0.35">
      <c r="A42" s="12" t="s">
        <v>87</v>
      </c>
      <c r="B42" s="13" t="s">
        <v>88</v>
      </c>
      <c r="C42" s="23" t="str">
        <f>IFERROR(VLOOKUP(B42,Sheet8!$T$2:$V$63,3,FALSE),"-")</f>
        <v>-</v>
      </c>
      <c r="D42" s="23" t="str">
        <f>IFERROR(VLOOKUP(B42,Sheet8!$O$2:$Q$65,3,FALSE),"-")</f>
        <v>-</v>
      </c>
      <c r="E42" s="23" t="str">
        <f>IFERROR(VLOOKUP(B42,Sheet8!$J$2:$L$74,3,FALSE),"-")</f>
        <v>-</v>
      </c>
      <c r="F42" s="23" t="str">
        <f>VLOOKUP(B42,Sheet8!$F$2:$H$74,3,FALSE)</f>
        <v>-</v>
      </c>
      <c r="G42" s="23" t="str">
        <f>VLOOKUP(B42,Sheet8!$A$2:$C$75,3,FALSE)</f>
        <v>-</v>
      </c>
      <c r="H42" s="25" t="s">
        <v>149</v>
      </c>
    </row>
    <row r="43" spans="1:8" x14ac:dyDescent="0.35">
      <c r="A43" s="3" t="s">
        <v>89</v>
      </c>
      <c r="B43" s="4"/>
      <c r="C43" s="4"/>
      <c r="D43" s="4"/>
      <c r="E43" s="4"/>
      <c r="F43" s="4"/>
      <c r="G43" s="4"/>
      <c r="H43" s="24"/>
    </row>
    <row r="44" spans="1:8" x14ac:dyDescent="0.35">
      <c r="A44" s="5" t="s">
        <v>90</v>
      </c>
      <c r="B44" s="6" t="s">
        <v>91</v>
      </c>
      <c r="C44" s="23">
        <f>IFERROR(VLOOKUP(B44,Sheet8!$T$2:$V$63,3,FALSE),"-")</f>
        <v>5465.1596141411201</v>
      </c>
      <c r="D44" s="23">
        <f>IFERROR(VLOOKUP(B44,Sheet8!$O$2:$Q$65,3,FALSE),"-")</f>
        <v>5465.1596141411201</v>
      </c>
      <c r="E44" s="23">
        <f>IFERROR(VLOOKUP(B44,Sheet8!$J$2:$L$74,3,FALSE),"-")</f>
        <v>8247.2317506441213</v>
      </c>
      <c r="F44" s="23">
        <f>VLOOKUP(B44,Sheet8!$F$2:$H$74,3,FALSE)</f>
        <v>8247.2317506441213</v>
      </c>
      <c r="G44" s="23">
        <f>VLOOKUP(B44,Sheet8!$A$2:$C$75,3,FALSE)</f>
        <v>10325.674760108324</v>
      </c>
      <c r="H44" s="23">
        <v>8278.2422361191566</v>
      </c>
    </row>
    <row r="45" spans="1:8" x14ac:dyDescent="0.35">
      <c r="A45" s="10" t="s">
        <v>92</v>
      </c>
      <c r="B45" s="6" t="s">
        <v>93</v>
      </c>
      <c r="C45" s="23">
        <f>IFERROR(VLOOKUP(B45,Sheet8!$T$2:$V$63,3,FALSE),"-")</f>
        <v>4387.5057112264067</v>
      </c>
      <c r="D45" s="23">
        <f>IFERROR(VLOOKUP(B45,Sheet8!$O$2:$Q$65,3,FALSE),"-")</f>
        <v>4387.5057112264067</v>
      </c>
      <c r="E45" s="23">
        <f>IFERROR(VLOOKUP(B45,Sheet8!$J$2:$L$74,3,FALSE),"-")</f>
        <v>3476.1162869098248</v>
      </c>
      <c r="F45" s="23">
        <f>VLOOKUP(B45,Sheet8!$F$2:$H$74,3,FALSE)</f>
        <v>3476.1162869098248</v>
      </c>
      <c r="G45" s="23">
        <f>VLOOKUP(B45,Sheet8!$A$2:$C$75,3,FALSE)</f>
        <v>5850</v>
      </c>
      <c r="H45" s="23">
        <v>5421</v>
      </c>
    </row>
    <row r="46" spans="1:8" x14ac:dyDescent="0.35">
      <c r="A46" s="10" t="s">
        <v>94</v>
      </c>
      <c r="B46" s="6" t="s">
        <v>95</v>
      </c>
      <c r="C46" s="23">
        <f>IFERROR(VLOOKUP(B46,Sheet8!$T$2:$V$63,3,FALSE),"-")</f>
        <v>0</v>
      </c>
      <c r="D46" s="23">
        <f>IFERROR(VLOOKUP(B46,Sheet8!$O$2:$Q$65,3,FALSE),"-")</f>
        <v>0</v>
      </c>
      <c r="E46" s="23">
        <f>IFERROR(VLOOKUP(B46,Sheet8!$J$2:$L$74,3,FALSE),"-")</f>
        <v>0</v>
      </c>
      <c r="F46" s="23">
        <f>VLOOKUP(B46,Sheet8!$F$2:$H$74,3,FALSE)</f>
        <v>0</v>
      </c>
      <c r="G46" s="23">
        <f>VLOOKUP(B46,Sheet8!$A$2:$C$75,3,FALSE)</f>
        <v>0</v>
      </c>
      <c r="H46" s="23">
        <v>0</v>
      </c>
    </row>
    <row r="47" spans="1:8" x14ac:dyDescent="0.35">
      <c r="A47" s="10" t="s">
        <v>96</v>
      </c>
      <c r="B47" s="6" t="s">
        <v>97</v>
      </c>
      <c r="C47" s="23">
        <f>IFERROR(VLOOKUP(B47,Sheet8!$T$2:$V$63,3,FALSE),"-")</f>
        <v>3392.5836404954844</v>
      </c>
      <c r="D47" s="23">
        <f>IFERROR(VLOOKUP(B47,Sheet8!$O$2:$Q$65,3,FALSE),"-")</f>
        <v>3392.5836404954844</v>
      </c>
      <c r="E47" s="23">
        <f>IFERROR(VLOOKUP(B47,Sheet8!$J$2:$L$74,3,FALSE),"-")</f>
        <v>3426.950746564703</v>
      </c>
      <c r="F47" s="23">
        <f>VLOOKUP(B47,Sheet8!$F$2:$H$74,3,FALSE)</f>
        <v>3426.950746564703</v>
      </c>
      <c r="G47" s="23">
        <f>VLOOKUP(B47,Sheet8!$A$2:$C$75,3,FALSE)</f>
        <v>4200</v>
      </c>
      <c r="H47" s="23">
        <v>3616.0909090909108</v>
      </c>
    </row>
    <row r="48" spans="1:8" x14ac:dyDescent="0.35">
      <c r="A48" s="10" t="s">
        <v>98</v>
      </c>
      <c r="B48" s="6" t="s">
        <v>99</v>
      </c>
      <c r="C48" s="23">
        <f>IFERROR(VLOOKUP(B48,Sheet8!$T$2:$V$63,3,FALSE),"-")</f>
        <v>1444.1788093079538</v>
      </c>
      <c r="D48" s="23">
        <f>IFERROR(VLOOKUP(B48,Sheet8!$O$2:$Q$65,3,FALSE),"-")</f>
        <v>1444.1788093079538</v>
      </c>
      <c r="E48" s="23">
        <f>IFERROR(VLOOKUP(B48,Sheet8!$J$2:$L$74,3,FALSE),"-")</f>
        <v>1374.066509428274</v>
      </c>
      <c r="F48" s="23">
        <f>VLOOKUP(B48,Sheet8!$F$2:$H$74,3,FALSE)</f>
        <v>1374.066509428274</v>
      </c>
      <c r="G48" s="23">
        <f>VLOOKUP(B48,Sheet8!$A$2:$C$75,3,FALSE)</f>
        <v>1200</v>
      </c>
      <c r="H48" s="23">
        <v>1275.3259740259746</v>
      </c>
    </row>
    <row r="49" spans="1:8" x14ac:dyDescent="0.35">
      <c r="A49" s="10" t="s">
        <v>100</v>
      </c>
      <c r="B49" s="16" t="s">
        <v>101</v>
      </c>
      <c r="C49" s="23">
        <f>IFERROR(VLOOKUP(B49,Sheet8!$T$2:$V$63,3,FALSE),"-")</f>
        <v>8466.2796211996902</v>
      </c>
      <c r="D49" s="23">
        <f>IFERROR(VLOOKUP(B49,Sheet8!$O$2:$Q$65,3,FALSE),"-")</f>
        <v>8466.2796211996902</v>
      </c>
      <c r="E49" s="23">
        <f>IFERROR(VLOOKUP(B49,Sheet8!$J$2:$L$74,3,FALSE),"-")</f>
        <v>13400</v>
      </c>
      <c r="F49" s="23">
        <f>VLOOKUP(B49,Sheet8!$F$2:$H$74,3,FALSE)</f>
        <v>13400</v>
      </c>
      <c r="G49" s="23">
        <f>VLOOKUP(B49,Sheet8!$A$2:$C$75,3,FALSE)</f>
        <v>12419.33434955763</v>
      </c>
      <c r="H49" s="23">
        <v>13375.301067035512</v>
      </c>
    </row>
    <row r="50" spans="1:8" x14ac:dyDescent="0.35">
      <c r="A50" s="3" t="s">
        <v>102</v>
      </c>
      <c r="B50" s="4"/>
      <c r="C50" s="4"/>
      <c r="D50" s="4"/>
      <c r="E50" s="4"/>
      <c r="F50" s="4"/>
      <c r="G50" s="4"/>
      <c r="H50" s="24"/>
    </row>
    <row r="51" spans="1:8" x14ac:dyDescent="0.35">
      <c r="A51" s="10" t="s">
        <v>103</v>
      </c>
      <c r="B51" s="6" t="s">
        <v>104</v>
      </c>
      <c r="C51" s="23">
        <f>IFERROR(VLOOKUP(B51,Sheet8!$T$2:$V$63,3,FALSE),"-")</f>
        <v>4046.7879594081405</v>
      </c>
      <c r="D51" s="23">
        <f>IFERROR(VLOOKUP(B51,Sheet8!$O$2:$Q$65,3,FALSE),"-")</f>
        <v>4046.7879594081405</v>
      </c>
      <c r="E51" s="23">
        <f>IFERROR(VLOOKUP(B51,Sheet8!$J$2:$L$74,3,FALSE),"-")</f>
        <v>4729.6419251093103</v>
      </c>
      <c r="F51" s="23">
        <f>VLOOKUP(B51,Sheet8!$F$2:$H$74,3,FALSE)</f>
        <v>4729.6419251093103</v>
      </c>
      <c r="G51" s="23">
        <f>VLOOKUP(B51,Sheet8!$A$2:$C$75,3,FALSE)</f>
        <v>6350</v>
      </c>
      <c r="H51" s="23">
        <v>3940.6875</v>
      </c>
    </row>
    <row r="52" spans="1:8" x14ac:dyDescent="0.35">
      <c r="A52" s="10" t="s">
        <v>105</v>
      </c>
      <c r="B52" s="6" t="s">
        <v>106</v>
      </c>
      <c r="C52" s="23">
        <f>IFERROR(VLOOKUP(B52,Sheet8!$T$2:$V$63,3,FALSE),"-")</f>
        <v>2423.3510727684975</v>
      </c>
      <c r="D52" s="23">
        <f>IFERROR(VLOOKUP(B52,Sheet8!$O$2:$Q$65,3,FALSE),"-")</f>
        <v>2423.3510727684975</v>
      </c>
      <c r="E52" s="23">
        <f>IFERROR(VLOOKUP(B52,Sheet8!$J$2:$L$74,3,FALSE),"-")</f>
        <v>4573.2707200441755</v>
      </c>
      <c r="F52" s="23">
        <f>VLOOKUP(B52,Sheet8!$F$2:$H$74,3,FALSE)</f>
        <v>4573.2707200441755</v>
      </c>
      <c r="G52" s="23">
        <f>VLOOKUP(B52,Sheet8!$A$2:$C$75,3,FALSE)</f>
        <v>4250</v>
      </c>
      <c r="H52" s="23">
        <v>3886.086956521739</v>
      </c>
    </row>
    <row r="53" spans="1:8" x14ac:dyDescent="0.35">
      <c r="A53" s="10" t="s">
        <v>107</v>
      </c>
      <c r="B53" s="6" t="s">
        <v>108</v>
      </c>
      <c r="C53" s="23">
        <f>IFERROR(VLOOKUP(B53,Sheet8!$T$2:$V$63,3,FALSE),"-")</f>
        <v>711.76236912272464</v>
      </c>
      <c r="D53" s="23">
        <f>IFERROR(VLOOKUP(B53,Sheet8!$O$2:$Q$65,3,FALSE),"-")</f>
        <v>711.76236912272464</v>
      </c>
      <c r="E53" s="23">
        <f>IFERROR(VLOOKUP(B53,Sheet8!$J$2:$L$74,3,FALSE),"-")</f>
        <v>1752.1472967938757</v>
      </c>
      <c r="F53" s="23">
        <f>VLOOKUP(B53,Sheet8!$F$2:$H$74,3,FALSE)</f>
        <v>1752.1472967938757</v>
      </c>
      <c r="G53" s="23">
        <f>VLOOKUP(B53,Sheet8!$A$2:$C$75,3,FALSE)</f>
        <v>1500</v>
      </c>
      <c r="H53" s="23">
        <v>840</v>
      </c>
    </row>
    <row r="54" spans="1:8" x14ac:dyDescent="0.35">
      <c r="A54" s="7" t="s">
        <v>109</v>
      </c>
      <c r="B54" s="15" t="s">
        <v>110</v>
      </c>
      <c r="C54" s="23">
        <f>IFERROR(VLOOKUP(B54,Sheet8!$T$2:$V$63,3,FALSE),"-")</f>
        <v>2173.7624049943283</v>
      </c>
      <c r="D54" s="23">
        <f>IFERROR(VLOOKUP(B54,Sheet8!$O$2:$Q$65,3,FALSE),"-")</f>
        <v>2173.7624049943283</v>
      </c>
      <c r="E54" s="23">
        <f>IFERROR(VLOOKUP(B54,Sheet8!$J$2:$L$74,3,FALSE),"-")</f>
        <v>845.21466164044534</v>
      </c>
      <c r="F54" s="23">
        <f>VLOOKUP(B54,Sheet8!$F$2:$H$74,3,FALSE)</f>
        <v>845.21466164044534</v>
      </c>
      <c r="G54" s="23">
        <f>VLOOKUP(B54,Sheet8!$A$2:$C$75,3,FALSE)</f>
        <v>1600</v>
      </c>
      <c r="H54" s="23">
        <v>1730</v>
      </c>
    </row>
    <row r="55" spans="1:8" x14ac:dyDescent="0.35">
      <c r="A55" s="7" t="s">
        <v>111</v>
      </c>
      <c r="B55" s="17" t="s">
        <v>112</v>
      </c>
      <c r="C55" s="23">
        <f>IFERROR(VLOOKUP(B55,Sheet8!$T$2:$V$63,3,FALSE),"-")</f>
        <v>4550.5860937524767</v>
      </c>
      <c r="D55" s="23">
        <f>IFERROR(VLOOKUP(B55,Sheet8!$O$2:$Q$65,3,FALSE),"-")</f>
        <v>4550.5860937524767</v>
      </c>
      <c r="E55" s="23">
        <f>IFERROR(VLOOKUP(B55,Sheet8!$J$2:$L$74,3,FALSE),"-")</f>
        <v>3822.2074459124788</v>
      </c>
      <c r="F55" s="23">
        <f>VLOOKUP(B55,Sheet8!$F$2:$H$74,3,FALSE)</f>
        <v>3822.2074459124788</v>
      </c>
      <c r="G55" s="23">
        <f>VLOOKUP(B55,Sheet8!$A$2:$C$75,3,FALSE)</f>
        <v>5100</v>
      </c>
      <c r="H55" s="23">
        <v>5576.818181818182</v>
      </c>
    </row>
    <row r="56" spans="1:8" x14ac:dyDescent="0.35">
      <c r="A56" s="3" t="s">
        <v>113</v>
      </c>
      <c r="B56" s="14"/>
      <c r="C56" s="14"/>
      <c r="D56" s="14"/>
      <c r="E56" s="14"/>
      <c r="F56" s="14"/>
      <c r="G56" s="14"/>
      <c r="H56" s="18"/>
    </row>
    <row r="57" spans="1:8" x14ac:dyDescent="0.35">
      <c r="A57" s="10" t="s">
        <v>114</v>
      </c>
      <c r="B57" s="6" t="s">
        <v>115</v>
      </c>
      <c r="C57" s="23">
        <f>IFERROR(VLOOKUP(B57,Sheet8!$T$2:$V$63,3,FALSE),"-")</f>
        <v>35768.728037770132</v>
      </c>
      <c r="D57" s="23">
        <f>IFERROR(VLOOKUP(B57,Sheet8!$O$2:$Q$65,3,FALSE),"-")</f>
        <v>35768.728037770132</v>
      </c>
      <c r="E57" s="23">
        <f>IFERROR(VLOOKUP(B57,Sheet8!$J$2:$L$74,3,FALSE),"-")</f>
        <v>34503.870636603628</v>
      </c>
      <c r="F57" s="23">
        <f>VLOOKUP(B57,Sheet8!$F$2:$H$74,3,FALSE)</f>
        <v>34503.870636603628</v>
      </c>
      <c r="G57" s="23">
        <f>VLOOKUP(B57,Sheet8!$A$2:$C$75,3,FALSE)</f>
        <v>50226.158345464813</v>
      </c>
      <c r="H57" s="23">
        <v>49157.466262738053</v>
      </c>
    </row>
    <row r="58" spans="1:8" x14ac:dyDescent="0.35">
      <c r="A58" s="7" t="s">
        <v>116</v>
      </c>
      <c r="B58" s="8" t="s">
        <v>117</v>
      </c>
      <c r="C58" s="23" t="str">
        <f>IFERROR(VLOOKUP(B58,Sheet8!$T$2:$V$63,3,FALSE),"-")</f>
        <v>-</v>
      </c>
      <c r="D58" s="23" t="str">
        <f>IFERROR(VLOOKUP(B58,Sheet8!$O$2:$Q$65,3,FALSE),"-")</f>
        <v>-</v>
      </c>
      <c r="E58" s="23" t="str">
        <f>IFERROR(VLOOKUP(B58,Sheet8!$J$2:$L$74,3,FALSE),"-")</f>
        <v>-</v>
      </c>
      <c r="F58" s="23" t="str">
        <f>VLOOKUP(B58,Sheet8!$F$2:$H$74,3,FALSE)</f>
        <v>-</v>
      </c>
      <c r="G58" s="23" t="str">
        <f>VLOOKUP(B58,Sheet8!$A$2:$C$75,3,FALSE)</f>
        <v>-</v>
      </c>
      <c r="H58" s="26" t="s">
        <v>149</v>
      </c>
    </row>
    <row r="59" spans="1:8" x14ac:dyDescent="0.35">
      <c r="A59" s="3" t="s">
        <v>118</v>
      </c>
      <c r="B59" s="14"/>
      <c r="C59" s="14"/>
      <c r="D59" s="14"/>
      <c r="E59" s="14"/>
      <c r="F59" s="14"/>
      <c r="G59" s="14"/>
      <c r="H59" s="18"/>
    </row>
    <row r="60" spans="1:8" x14ac:dyDescent="0.35">
      <c r="A60" s="7" t="s">
        <v>119</v>
      </c>
      <c r="B60" s="8" t="s">
        <v>120</v>
      </c>
      <c r="C60" s="23">
        <f>IFERROR(VLOOKUP(B60,Sheet8!$T$2:$V$63,3,FALSE),"-")</f>
        <v>601.01010101010104</v>
      </c>
      <c r="D60" s="23">
        <f>IFERROR(VLOOKUP(B60,Sheet8!$O$2:$Q$65,3,FALSE),"-")</f>
        <v>601.01010101010104</v>
      </c>
      <c r="E60" s="23">
        <f>IFERROR(VLOOKUP(B60,Sheet8!$J$2:$L$74,3,FALSE),"-")</f>
        <v>0</v>
      </c>
      <c r="F60" s="23">
        <f>VLOOKUP(B60,Sheet8!$F$2:$H$74,3,FALSE)</f>
        <v>0</v>
      </c>
      <c r="G60" s="23">
        <f>VLOOKUP(B60,Sheet8!$A$2:$C$75,3,FALSE)</f>
        <v>0</v>
      </c>
      <c r="H60" s="23">
        <v>0</v>
      </c>
    </row>
    <row r="61" spans="1:8" x14ac:dyDescent="0.35">
      <c r="A61" s="7" t="s">
        <v>121</v>
      </c>
      <c r="B61" s="8" t="s">
        <v>122</v>
      </c>
      <c r="C61" s="23">
        <f>IFERROR(VLOOKUP(B61,Sheet8!$T$2:$V$63,3,FALSE),"-")</f>
        <v>702.02020202020208</v>
      </c>
      <c r="D61" s="23">
        <f>IFERROR(VLOOKUP(B61,Sheet8!$O$2:$Q$65,3,FALSE),"-")</f>
        <v>702.02020202020208</v>
      </c>
      <c r="E61" s="23">
        <f>IFERROR(VLOOKUP(B61,Sheet8!$J$2:$L$74,3,FALSE),"-")</f>
        <v>0</v>
      </c>
      <c r="F61" s="23">
        <f>VLOOKUP(B61,Sheet8!$F$2:$H$74,3,FALSE)</f>
        <v>0</v>
      </c>
      <c r="G61" s="23">
        <f>VLOOKUP(B61,Sheet8!$A$2:$C$75,3,FALSE)</f>
        <v>0</v>
      </c>
      <c r="H61" s="23">
        <v>0</v>
      </c>
    </row>
    <row r="62" spans="1:8" x14ac:dyDescent="0.35">
      <c r="A62" s="7" t="s">
        <v>123</v>
      </c>
      <c r="B62" s="8" t="s">
        <v>124</v>
      </c>
      <c r="C62" s="23">
        <f>IFERROR(VLOOKUP(B62,Sheet8!$T$2:$V$63,3,FALSE),"-")</f>
        <v>37959.673324580661</v>
      </c>
      <c r="D62" s="23">
        <f>IFERROR(VLOOKUP(B62,Sheet8!$O$2:$Q$65,3,FALSE),"-")</f>
        <v>37959.673324580661</v>
      </c>
      <c r="E62" s="23">
        <f>IFERROR(VLOOKUP(B62,Sheet8!$J$2:$L$74,3,FALSE),"-")</f>
        <v>14900</v>
      </c>
      <c r="F62" s="23">
        <f>VLOOKUP(B62,Sheet8!$F$2:$H$74,3,FALSE)</f>
        <v>14900</v>
      </c>
      <c r="G62" s="23">
        <f>VLOOKUP(B62,Sheet8!$A$2:$C$75,3,FALSE)</f>
        <v>20700</v>
      </c>
      <c r="H62" s="23">
        <v>20700</v>
      </c>
    </row>
    <row r="63" spans="1:8" x14ac:dyDescent="0.35">
      <c r="A63" s="3" t="s">
        <v>125</v>
      </c>
      <c r="B63" s="14"/>
      <c r="C63" s="14"/>
      <c r="D63" s="14"/>
      <c r="E63" s="14"/>
      <c r="F63" s="14"/>
      <c r="G63" s="14"/>
      <c r="H63" s="18"/>
    </row>
    <row r="64" spans="1:8" x14ac:dyDescent="0.35">
      <c r="A64" s="7" t="s">
        <v>126</v>
      </c>
      <c r="B64" s="15" t="s">
        <v>127</v>
      </c>
      <c r="C64" s="23">
        <f>IFERROR(VLOOKUP(B64,Sheet8!$T$2:$V$63,3,FALSE),"-")</f>
        <v>5255.040980674632</v>
      </c>
      <c r="D64" s="23">
        <f>IFERROR(VLOOKUP(B64,Sheet8!$O$2:$Q$65,3,FALSE),"-")</f>
        <v>5255.040980674632</v>
      </c>
      <c r="E64" s="23">
        <f>IFERROR(VLOOKUP(B64,Sheet8!$J$2:$L$74,3,FALSE),"-")</f>
        <v>0</v>
      </c>
      <c r="F64" s="23">
        <f>VLOOKUP(B64,Sheet8!$F$2:$H$74,3,FALSE)</f>
        <v>0</v>
      </c>
      <c r="G64" s="23">
        <f>VLOOKUP(B64,Sheet8!$A$2:$C$75,3,FALSE)</f>
        <v>0</v>
      </c>
      <c r="H64" s="23">
        <v>0</v>
      </c>
    </row>
    <row r="65" spans="1:8" x14ac:dyDescent="0.35">
      <c r="A65" s="3" t="s">
        <v>128</v>
      </c>
      <c r="B65" s="18"/>
      <c r="C65" s="18"/>
      <c r="D65" s="18"/>
      <c r="E65" s="18"/>
      <c r="F65" s="18"/>
      <c r="G65" s="18"/>
      <c r="H65" s="18"/>
    </row>
    <row r="66" spans="1:8" x14ac:dyDescent="0.35">
      <c r="A66" s="7" t="s">
        <v>129</v>
      </c>
      <c r="B66" s="8" t="s">
        <v>130</v>
      </c>
      <c r="C66" s="23" t="str">
        <f>IFERROR(VLOOKUP(B66,Sheet8!$T$2:$V$63,3,FALSE),"-")</f>
        <v>-</v>
      </c>
      <c r="D66" s="23">
        <f>IFERROR(VLOOKUP(B66,Sheet8!$O$2:$Q$65,3,FALSE),"-")</f>
        <v>425.93626327626794</v>
      </c>
      <c r="E66" s="23">
        <f>IFERROR(VLOOKUP(B66,Sheet8!$J$2:$L$74,3,FALSE),"-")</f>
        <v>600</v>
      </c>
      <c r="F66" s="23">
        <f>VLOOKUP(B66,Sheet8!$F$2:$H$74,3,FALSE)</f>
        <v>600</v>
      </c>
      <c r="G66" s="23">
        <f>VLOOKUP(B66,Sheet8!$A$2:$C$75,3,FALSE)</f>
        <v>0</v>
      </c>
      <c r="H66" s="23">
        <v>0</v>
      </c>
    </row>
    <row r="67" spans="1:8" x14ac:dyDescent="0.35">
      <c r="A67" s="3" t="s">
        <v>131</v>
      </c>
      <c r="B67" s="18"/>
      <c r="C67" s="18"/>
      <c r="D67" s="18"/>
      <c r="E67" s="18"/>
      <c r="F67" s="18"/>
      <c r="G67" s="18"/>
      <c r="H67" s="18"/>
    </row>
    <row r="68" spans="1:8" x14ac:dyDescent="0.35">
      <c r="A68" s="7" t="s">
        <v>132</v>
      </c>
      <c r="B68" s="8" t="s">
        <v>133</v>
      </c>
      <c r="C68" s="23" t="str">
        <f>IFERROR(VLOOKUP(B68,Sheet8!$T$2:$V$63,3,FALSE),"-")</f>
        <v>-</v>
      </c>
      <c r="D68" s="23" t="str">
        <f>IFERROR(VLOOKUP(B68,Sheet8!$O$2:$Q$65,3,FALSE),"-")</f>
        <v>-</v>
      </c>
      <c r="E68" s="23">
        <f>IFERROR(VLOOKUP(B68,Sheet8!$J$2:$L$74,3,FALSE),"-")</f>
        <v>1200</v>
      </c>
      <c r="F68" s="23">
        <f>VLOOKUP(B68,Sheet8!$F$2:$H$74,3,FALSE)</f>
        <v>1200</v>
      </c>
      <c r="G68" s="23">
        <f>VLOOKUP(B68,Sheet8!$A$2:$C$75,3,FALSE)</f>
        <v>1000</v>
      </c>
      <c r="H68" s="23">
        <v>0</v>
      </c>
    </row>
    <row r="69" spans="1:8" x14ac:dyDescent="0.35">
      <c r="A69" s="7" t="s">
        <v>134</v>
      </c>
      <c r="B69" s="8" t="s">
        <v>135</v>
      </c>
      <c r="C69" s="23" t="str">
        <f>IFERROR(VLOOKUP(B69,Sheet8!$T$2:$V$63,3,FALSE),"-")</f>
        <v>-</v>
      </c>
      <c r="D69" s="23" t="str">
        <f>IFERROR(VLOOKUP(B69,Sheet8!$O$2:$Q$65,3,FALSE),"-")</f>
        <v>-</v>
      </c>
      <c r="E69" s="23">
        <f>IFERROR(VLOOKUP(B69,Sheet8!$J$2:$L$74,3,FALSE),"-")</f>
        <v>700</v>
      </c>
      <c r="F69" s="23">
        <f>VLOOKUP(B69,Sheet8!$F$2:$H$74,3,FALSE)</f>
        <v>700</v>
      </c>
      <c r="G69" s="23">
        <f>VLOOKUP(B69,Sheet8!$A$2:$C$75,3,FALSE)</f>
        <v>1000</v>
      </c>
      <c r="H69" s="23">
        <v>0</v>
      </c>
    </row>
    <row r="70" spans="1:8" x14ac:dyDescent="0.35">
      <c r="A70" s="7" t="s">
        <v>136</v>
      </c>
      <c r="B70" s="8" t="s">
        <v>137</v>
      </c>
      <c r="C70" s="23" t="str">
        <f>IFERROR(VLOOKUP(B70,Sheet8!$T$2:$V$63,3,FALSE),"-")</f>
        <v>-</v>
      </c>
      <c r="D70" s="23" t="str">
        <f>IFERROR(VLOOKUP(B70,Sheet8!$O$2:$Q$65,3,FALSE),"-")</f>
        <v>-</v>
      </c>
      <c r="E70" s="23">
        <f>IFERROR(VLOOKUP(B70,Sheet8!$J$2:$L$74,3,FALSE),"-")</f>
        <v>50</v>
      </c>
      <c r="F70" s="23">
        <f>VLOOKUP(B70,Sheet8!$F$2:$H$74,3,FALSE)</f>
        <v>50</v>
      </c>
      <c r="G70" s="23">
        <f>VLOOKUP(B70,Sheet8!$A$2:$C$75,3,FALSE)</f>
        <v>0</v>
      </c>
      <c r="H70" s="23">
        <v>0</v>
      </c>
    </row>
    <row r="71" spans="1:8" x14ac:dyDescent="0.35">
      <c r="A71" s="7" t="s">
        <v>138</v>
      </c>
      <c r="B71" s="8" t="s">
        <v>139</v>
      </c>
      <c r="C71" s="23" t="str">
        <f>IFERROR(VLOOKUP(B71,Sheet8!$T$2:$V$63,3,FALSE),"-")</f>
        <v>-</v>
      </c>
      <c r="D71" s="23" t="str">
        <f>IFERROR(VLOOKUP(B71,Sheet8!$O$2:$Q$65,3,FALSE),"-")</f>
        <v>-</v>
      </c>
      <c r="E71" s="23">
        <f>IFERROR(VLOOKUP(B71,Sheet8!$J$2:$L$74,3,FALSE),"-")</f>
        <v>50</v>
      </c>
      <c r="F71" s="23">
        <f>VLOOKUP(B71,Sheet8!$F$2:$H$74,3,FALSE)</f>
        <v>50</v>
      </c>
      <c r="G71" s="23">
        <f>VLOOKUP(B71,Sheet8!$A$2:$C$75,3,FALSE)</f>
        <v>0</v>
      </c>
      <c r="H71" s="23">
        <v>0</v>
      </c>
    </row>
    <row r="72" spans="1:8" x14ac:dyDescent="0.35">
      <c r="A72" s="7" t="s">
        <v>140</v>
      </c>
      <c r="B72" s="8" t="s">
        <v>141</v>
      </c>
      <c r="C72" s="23" t="str">
        <f>IFERROR(VLOOKUP(B72,Sheet8!$T$2:$V$63,3,FALSE),"-")</f>
        <v>-</v>
      </c>
      <c r="D72" s="23" t="str">
        <f>IFERROR(VLOOKUP(B72,Sheet8!$O$2:$Q$65,3,FALSE),"-")</f>
        <v>-</v>
      </c>
      <c r="E72" s="23">
        <f>IFERROR(VLOOKUP(B72,Sheet8!$J$2:$L$74,3,FALSE),"-")</f>
        <v>400</v>
      </c>
      <c r="F72" s="23">
        <f>VLOOKUP(B72,Sheet8!$F$2:$H$74,3,FALSE)</f>
        <v>400</v>
      </c>
      <c r="G72" s="23">
        <f>VLOOKUP(B72,Sheet8!$A$2:$C$75,3,FALSE)</f>
        <v>500</v>
      </c>
      <c r="H72" s="23">
        <v>0</v>
      </c>
    </row>
    <row r="73" spans="1:8" x14ac:dyDescent="0.35">
      <c r="A73" s="7" t="s">
        <v>142</v>
      </c>
      <c r="B73" s="8" t="s">
        <v>143</v>
      </c>
      <c r="C73" s="23" t="str">
        <f>IFERROR(VLOOKUP(B73,Sheet8!$T$2:$V$63,3,FALSE),"-")</f>
        <v>-</v>
      </c>
      <c r="D73" s="23" t="str">
        <f>IFERROR(VLOOKUP(B73,Sheet8!$O$2:$Q$65,3,FALSE),"-")</f>
        <v>-</v>
      </c>
      <c r="E73" s="23">
        <f>IFERROR(VLOOKUP(B73,Sheet8!$J$2:$L$74,3,FALSE),"-")</f>
        <v>50</v>
      </c>
      <c r="F73" s="23">
        <f>VLOOKUP(B73,Sheet8!$F$2:$H$74,3,FALSE)</f>
        <v>50</v>
      </c>
      <c r="G73" s="23">
        <f>VLOOKUP(B73,Sheet8!$A$2:$C$75,3,FALSE)</f>
        <v>0</v>
      </c>
      <c r="H73" s="23">
        <v>0</v>
      </c>
    </row>
    <row r="74" spans="1:8" x14ac:dyDescent="0.35">
      <c r="A74" s="7" t="s">
        <v>144</v>
      </c>
      <c r="B74" s="8" t="s">
        <v>145</v>
      </c>
      <c r="C74" s="23" t="str">
        <f>IFERROR(VLOOKUP(B74,Sheet8!$T$2:$V$63,3,FALSE),"-")</f>
        <v>-</v>
      </c>
      <c r="D74" s="23" t="str">
        <f>IFERROR(VLOOKUP(B74,Sheet8!$O$2:$Q$65,3,FALSE),"-")</f>
        <v>-</v>
      </c>
      <c r="E74" s="23" t="str">
        <f>IFERROR(VLOOKUP(B74,Sheet8!$J$2:$L$74,3,FALSE),"-")</f>
        <v>-</v>
      </c>
      <c r="F74" s="23" t="s">
        <v>149</v>
      </c>
      <c r="G74" s="23">
        <f>VLOOKUP(B74,Sheet8!$A$2:$C$75,3,FALSE)</f>
        <v>200</v>
      </c>
      <c r="H74" s="23">
        <v>0</v>
      </c>
    </row>
  </sheetData>
  <conditionalFormatting sqref="B64">
    <cfRule type="duplicateValues" dxfId="0" priority="7"/>
  </conditionalFormatting>
  <hyperlinks>
    <hyperlink ref="B74" r:id="rId1" display="https://sellercentral.amazon.in/skucentral?mSku=SANYF01&amp;condition=New&amp;ref_=myp_skuc" xr:uid="{78450CCD-2A9B-49B7-8B81-FA4AEC5138A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0EB75-AD73-47E4-93F1-C7A5279AACAF}">
  <dimension ref="A1:C17"/>
  <sheetViews>
    <sheetView tabSelected="1" workbookViewId="0">
      <selection activeCell="C15" sqref="C15"/>
    </sheetView>
  </sheetViews>
  <sheetFormatPr defaultRowHeight="14.5" x14ac:dyDescent="0.35"/>
  <cols>
    <col min="1" max="1" width="22" bestFit="1" customWidth="1"/>
    <col min="2" max="2" width="18.26953125" bestFit="1" customWidth="1"/>
  </cols>
  <sheetData>
    <row r="1" spans="1:3" x14ac:dyDescent="0.35">
      <c r="A1" t="s">
        <v>182</v>
      </c>
      <c r="B1" t="s">
        <v>183</v>
      </c>
      <c r="C1" t="s">
        <v>189</v>
      </c>
    </row>
    <row r="2" spans="1:3" x14ac:dyDescent="0.35">
      <c r="A2" t="s">
        <v>0</v>
      </c>
      <c r="B2" t="s">
        <v>184</v>
      </c>
    </row>
    <row r="3" spans="1:3" x14ac:dyDescent="0.35">
      <c r="A3" t="s">
        <v>1</v>
      </c>
      <c r="B3" t="s">
        <v>184</v>
      </c>
    </row>
    <row r="4" spans="1:3" x14ac:dyDescent="0.35">
      <c r="A4" t="s">
        <v>2</v>
      </c>
      <c r="B4" t="s">
        <v>185</v>
      </c>
    </row>
    <row r="5" spans="1:3" x14ac:dyDescent="0.35">
      <c r="A5" t="s">
        <v>3</v>
      </c>
      <c r="B5" t="s">
        <v>185</v>
      </c>
    </row>
    <row r="6" spans="1:3" x14ac:dyDescent="0.35">
      <c r="A6" t="s">
        <v>4</v>
      </c>
      <c r="B6" t="s">
        <v>185</v>
      </c>
    </row>
    <row r="7" spans="1:3" x14ac:dyDescent="0.35">
      <c r="A7" t="s">
        <v>5</v>
      </c>
      <c r="B7" t="s">
        <v>185</v>
      </c>
    </row>
    <row r="8" spans="1:3" x14ac:dyDescent="0.35">
      <c r="A8" t="s">
        <v>6</v>
      </c>
      <c r="B8" t="s">
        <v>184</v>
      </c>
    </row>
    <row r="9" spans="1:3" x14ac:dyDescent="0.35">
      <c r="A9" t="s">
        <v>7</v>
      </c>
      <c r="B9" t="s">
        <v>186</v>
      </c>
    </row>
    <row r="10" spans="1:3" x14ac:dyDescent="0.35">
      <c r="A10" t="s">
        <v>8</v>
      </c>
      <c r="B10" t="s">
        <v>186</v>
      </c>
    </row>
    <row r="11" spans="1:3" x14ac:dyDescent="0.35">
      <c r="A11" t="s">
        <v>9</v>
      </c>
      <c r="B11" t="s">
        <v>186</v>
      </c>
    </row>
    <row r="12" spans="1:3" x14ac:dyDescent="0.35">
      <c r="A12" t="s">
        <v>10</v>
      </c>
      <c r="B12" t="s">
        <v>186</v>
      </c>
    </row>
    <row r="13" spans="1:3" x14ac:dyDescent="0.35">
      <c r="A13" t="s">
        <v>151</v>
      </c>
      <c r="B13" t="s">
        <v>187</v>
      </c>
    </row>
    <row r="14" spans="1:3" x14ac:dyDescent="0.35">
      <c r="A14" t="s">
        <v>188</v>
      </c>
      <c r="B14" t="s">
        <v>185</v>
      </c>
    </row>
    <row r="15" spans="1:3" x14ac:dyDescent="0.35">
      <c r="A15" t="s">
        <v>152</v>
      </c>
      <c r="B15" t="s">
        <v>184</v>
      </c>
      <c r="C15" t="s">
        <v>192</v>
      </c>
    </row>
    <row r="16" spans="1:3" x14ac:dyDescent="0.35">
      <c r="A16" t="s">
        <v>153</v>
      </c>
      <c r="B16" t="s">
        <v>185</v>
      </c>
      <c r="C16" t="s">
        <v>190</v>
      </c>
    </row>
    <row r="17" spans="1:3" x14ac:dyDescent="0.35">
      <c r="A17" t="s">
        <v>154</v>
      </c>
      <c r="B17" t="s">
        <v>185</v>
      </c>
      <c r="C1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Bangalore DP</vt:lpstr>
      <vt:lpstr>Hyderabad DP</vt:lpstr>
      <vt:lpstr>Chennai DP</vt:lpstr>
      <vt:lpstr>Delhi DP</vt:lpstr>
      <vt:lpstr>Mumbai DP</vt:lpstr>
      <vt:lpstr>Sheet8</vt:lpstr>
      <vt:lpstr>Overall DP</vt:lpstr>
      <vt:lpstr>Factors used for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Balaji</dc:creator>
  <cp:lastModifiedBy>Sai Balaji</cp:lastModifiedBy>
  <dcterms:created xsi:type="dcterms:W3CDTF">2026-09-11T03:18:32Z</dcterms:created>
  <dcterms:modified xsi:type="dcterms:W3CDTF">2026-09-11T14:56:15Z</dcterms:modified>
</cp:coreProperties>
</file>